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fisher\Documents\"/>
    </mc:Choice>
  </mc:AlternateContent>
  <xr:revisionPtr revIDLastSave="0" documentId="13_ncr:1_{174C73F1-C78F-4779-820F-49A6104BC6EB}" xr6:coauthVersionLast="47" xr6:coauthVersionMax="47" xr10:uidLastSave="{00000000-0000-0000-0000-000000000000}"/>
  <bookViews>
    <workbookView xWindow="-67320" yWindow="-120" windowWidth="29040" windowHeight="15720" xr2:uid="{954CB624-2B4E-44A0-9741-469DEBFFF509}"/>
  </bookViews>
  <sheets>
    <sheet name="Summary" sheetId="1" r:id="rId1"/>
    <sheet name="DAILY" sheetId="11" r:id="rId2"/>
    <sheet name="SUN" sheetId="4" r:id="rId3"/>
    <sheet name="MON" sheetId="5" r:id="rId4"/>
    <sheet name="TUE" sheetId="6" r:id="rId5"/>
    <sheet name="WED" sheetId="7" r:id="rId6"/>
    <sheet name="THUR" sheetId="8" r:id="rId7"/>
    <sheet name="FRI" sheetId="9" r:id="rId8"/>
    <sheet name="SAT" sheetId="10" r:id="rId9"/>
    <sheet name="Settings" sheetId="2" r:id="rId10"/>
    <sheet name="Analyze ProdData" sheetId="3" state="hidden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11" l="1"/>
  <c r="E27" i="11"/>
  <c r="A2" i="1"/>
  <c r="H2" i="1" l="1"/>
  <c r="K2" i="1"/>
  <c r="F2" i="1" a="1"/>
  <c r="F2" i="1" s="1"/>
  <c r="K4" i="2"/>
  <c r="I4" i="11"/>
  <c r="H4" i="11"/>
  <c r="G4" i="11"/>
  <c r="F4" i="11"/>
  <c r="E4" i="11"/>
  <c r="D4" i="11"/>
  <c r="C4" i="11"/>
  <c r="J3" i="5"/>
  <c r="B17" i="11"/>
  <c r="B39" i="11" l="1"/>
  <c r="G29" i="11" l="1"/>
  <c r="F28" i="11"/>
  <c r="A29" i="4"/>
  <c r="A30" i="4"/>
  <c r="A31" i="4"/>
  <c r="A32" i="4"/>
  <c r="A28" i="4"/>
  <c r="H33" i="10"/>
  <c r="G33" i="10"/>
  <c r="F33" i="10"/>
  <c r="E33" i="10"/>
  <c r="D33" i="10"/>
  <c r="C33" i="10"/>
  <c r="B33" i="10"/>
  <c r="I32" i="10"/>
  <c r="I38" i="11" s="1"/>
  <c r="I31" i="10"/>
  <c r="I37" i="11" s="1"/>
  <c r="I30" i="10"/>
  <c r="I29" i="10"/>
  <c r="I35" i="11" s="1"/>
  <c r="I28" i="10"/>
  <c r="I34" i="11" s="1"/>
  <c r="H26" i="10"/>
  <c r="G26" i="10"/>
  <c r="F26" i="10"/>
  <c r="E26" i="10"/>
  <c r="D26" i="10"/>
  <c r="C26" i="10"/>
  <c r="B26" i="10"/>
  <c r="I25" i="10"/>
  <c r="I29" i="11" s="1"/>
  <c r="A25" i="10"/>
  <c r="I24" i="10"/>
  <c r="I28" i="11" s="1"/>
  <c r="A24" i="10"/>
  <c r="I23" i="10"/>
  <c r="I27" i="11" s="1"/>
  <c r="A23" i="10"/>
  <c r="I22" i="10"/>
  <c r="I26" i="11" s="1"/>
  <c r="A22" i="10"/>
  <c r="I21" i="10"/>
  <c r="I25" i="11" s="1"/>
  <c r="A21" i="10"/>
  <c r="I19" i="10"/>
  <c r="I21" i="11" s="1"/>
  <c r="A19" i="10"/>
  <c r="H17" i="10"/>
  <c r="G17" i="10"/>
  <c r="F17" i="10"/>
  <c r="E17" i="10"/>
  <c r="D17" i="10"/>
  <c r="C17" i="10"/>
  <c r="B17" i="10"/>
  <c r="I16" i="10"/>
  <c r="A16" i="10"/>
  <c r="I15" i="10"/>
  <c r="A15" i="10"/>
  <c r="I14" i="10"/>
  <c r="A14" i="10"/>
  <c r="I13" i="10"/>
  <c r="I13" i="11" s="1"/>
  <c r="A13" i="10"/>
  <c r="I12" i="10"/>
  <c r="I12" i="11" s="1"/>
  <c r="A12" i="10"/>
  <c r="I11" i="10"/>
  <c r="I11" i="11" s="1"/>
  <c r="A11" i="10"/>
  <c r="I10" i="10"/>
  <c r="I10" i="11" s="1"/>
  <c r="A10" i="10"/>
  <c r="I9" i="10"/>
  <c r="I9" i="11" s="1"/>
  <c r="A9" i="10"/>
  <c r="I8" i="10"/>
  <c r="I8" i="11" s="1"/>
  <c r="A8" i="10"/>
  <c r="I7" i="10"/>
  <c r="I7" i="11" s="1"/>
  <c r="A7" i="10"/>
  <c r="I6" i="10"/>
  <c r="I6" i="11" s="1"/>
  <c r="A6" i="10"/>
  <c r="I5" i="10"/>
  <c r="A5" i="10"/>
  <c r="H33" i="9"/>
  <c r="G33" i="9"/>
  <c r="F33" i="9"/>
  <c r="E33" i="9"/>
  <c r="D33" i="9"/>
  <c r="C33" i="9"/>
  <c r="B33" i="9"/>
  <c r="I32" i="9"/>
  <c r="H38" i="11" s="1"/>
  <c r="I31" i="9"/>
  <c r="H37" i="11" s="1"/>
  <c r="I30" i="9"/>
  <c r="H36" i="11" s="1"/>
  <c r="I29" i="9"/>
  <c r="H35" i="11" s="1"/>
  <c r="I28" i="9"/>
  <c r="H26" i="9"/>
  <c r="G26" i="9"/>
  <c r="F26" i="9"/>
  <c r="E26" i="9"/>
  <c r="D26" i="9"/>
  <c r="C26" i="9"/>
  <c r="B26" i="9"/>
  <c r="I25" i="9"/>
  <c r="H29" i="11" s="1"/>
  <c r="A25" i="9"/>
  <c r="I24" i="9"/>
  <c r="H28" i="11" s="1"/>
  <c r="A24" i="9"/>
  <c r="I23" i="9"/>
  <c r="H27" i="11" s="1"/>
  <c r="A23" i="9"/>
  <c r="I22" i="9"/>
  <c r="H26" i="11" s="1"/>
  <c r="A22" i="9"/>
  <c r="I21" i="9"/>
  <c r="H25" i="11" s="1"/>
  <c r="A21" i="9"/>
  <c r="I19" i="9"/>
  <c r="H21" i="11" s="1"/>
  <c r="A19" i="9"/>
  <c r="H17" i="9"/>
  <c r="G17" i="9"/>
  <c r="F17" i="9"/>
  <c r="E17" i="9"/>
  <c r="D17" i="9"/>
  <c r="C17" i="9"/>
  <c r="B17" i="9"/>
  <c r="I16" i="9"/>
  <c r="A16" i="9"/>
  <c r="I15" i="9"/>
  <c r="A15" i="9"/>
  <c r="I14" i="9"/>
  <c r="H14" i="11" s="1"/>
  <c r="A14" i="9"/>
  <c r="I13" i="9"/>
  <c r="H13" i="11" s="1"/>
  <c r="A13" i="9"/>
  <c r="I12" i="9"/>
  <c r="H12" i="11" s="1"/>
  <c r="A12" i="9"/>
  <c r="I11" i="9"/>
  <c r="H11" i="11" s="1"/>
  <c r="A11" i="9"/>
  <c r="I10" i="9"/>
  <c r="H10" i="11" s="1"/>
  <c r="A10" i="9"/>
  <c r="I9" i="9"/>
  <c r="H9" i="11" s="1"/>
  <c r="A9" i="9"/>
  <c r="I8" i="9"/>
  <c r="H8" i="11" s="1"/>
  <c r="A8" i="9"/>
  <c r="I7" i="9"/>
  <c r="H7" i="11" s="1"/>
  <c r="A7" i="9"/>
  <c r="I6" i="9"/>
  <c r="A6" i="9"/>
  <c r="I5" i="9"/>
  <c r="A5" i="9"/>
  <c r="H35" i="8"/>
  <c r="H33" i="8"/>
  <c r="G33" i="8"/>
  <c r="F33" i="8"/>
  <c r="E33" i="8"/>
  <c r="D33" i="8"/>
  <c r="C33" i="8"/>
  <c r="B33" i="8"/>
  <c r="I32" i="8"/>
  <c r="G38" i="11" s="1"/>
  <c r="I31" i="8"/>
  <c r="G37" i="11" s="1"/>
  <c r="I30" i="8"/>
  <c r="G36" i="11" s="1"/>
  <c r="I29" i="8"/>
  <c r="G35" i="11" s="1"/>
  <c r="I28" i="8"/>
  <c r="H26" i="8"/>
  <c r="G26" i="8"/>
  <c r="F26" i="8"/>
  <c r="E26" i="8"/>
  <c r="D26" i="8"/>
  <c r="C26" i="8"/>
  <c r="B26" i="8"/>
  <c r="I25" i="8"/>
  <c r="A25" i="8"/>
  <c r="I24" i="8"/>
  <c r="G28" i="11" s="1"/>
  <c r="A24" i="8"/>
  <c r="I23" i="8"/>
  <c r="G27" i="11" s="1"/>
  <c r="A23" i="8"/>
  <c r="I22" i="8"/>
  <c r="G26" i="11" s="1"/>
  <c r="A22" i="8"/>
  <c r="I21" i="8"/>
  <c r="G25" i="11" s="1"/>
  <c r="A21" i="8"/>
  <c r="I19" i="8"/>
  <c r="A19" i="8"/>
  <c r="H17" i="8"/>
  <c r="G17" i="8"/>
  <c r="F17" i="8"/>
  <c r="E17" i="8"/>
  <c r="D17" i="8"/>
  <c r="C17" i="8"/>
  <c r="B17" i="8"/>
  <c r="I17" i="8" s="1"/>
  <c r="I16" i="8"/>
  <c r="A16" i="8"/>
  <c r="I15" i="8"/>
  <c r="A15" i="8"/>
  <c r="I14" i="8"/>
  <c r="A14" i="8"/>
  <c r="I13" i="8"/>
  <c r="G13" i="11" s="1"/>
  <c r="A13" i="8"/>
  <c r="I12" i="8"/>
  <c r="G12" i="11" s="1"/>
  <c r="A12" i="8"/>
  <c r="I11" i="8"/>
  <c r="G11" i="11" s="1"/>
  <c r="A11" i="8"/>
  <c r="I10" i="8"/>
  <c r="G10" i="11" s="1"/>
  <c r="A10" i="8"/>
  <c r="I9" i="8"/>
  <c r="G9" i="11" s="1"/>
  <c r="A9" i="8"/>
  <c r="I8" i="8"/>
  <c r="G8" i="11" s="1"/>
  <c r="A8" i="8"/>
  <c r="I7" i="8"/>
  <c r="A7" i="8"/>
  <c r="I6" i="8"/>
  <c r="A6" i="8"/>
  <c r="I5" i="8"/>
  <c r="A5" i="8"/>
  <c r="H33" i="7"/>
  <c r="G33" i="7"/>
  <c r="F33" i="7"/>
  <c r="E33" i="7"/>
  <c r="D33" i="7"/>
  <c r="C33" i="7"/>
  <c r="B33" i="7"/>
  <c r="I32" i="7"/>
  <c r="F38" i="11" s="1"/>
  <c r="I31" i="7"/>
  <c r="F37" i="11" s="1"/>
  <c r="I30" i="7"/>
  <c r="F36" i="11" s="1"/>
  <c r="I29" i="7"/>
  <c r="F35" i="11" s="1"/>
  <c r="I28" i="7"/>
  <c r="F34" i="11" s="1"/>
  <c r="H26" i="7"/>
  <c r="G26" i="7"/>
  <c r="F26" i="7"/>
  <c r="E26" i="7"/>
  <c r="D26" i="7"/>
  <c r="C26" i="7"/>
  <c r="B26" i="7"/>
  <c r="I25" i="7"/>
  <c r="F29" i="11" s="1"/>
  <c r="A25" i="7"/>
  <c r="I24" i="7"/>
  <c r="A24" i="7"/>
  <c r="I23" i="7"/>
  <c r="F27" i="11" s="1"/>
  <c r="A23" i="7"/>
  <c r="I22" i="7"/>
  <c r="F26" i="11" s="1"/>
  <c r="A22" i="7"/>
  <c r="I21" i="7"/>
  <c r="F25" i="11" s="1"/>
  <c r="A21" i="7"/>
  <c r="I19" i="7"/>
  <c r="A19" i="7"/>
  <c r="H17" i="7"/>
  <c r="G17" i="7"/>
  <c r="F17" i="7"/>
  <c r="E17" i="7"/>
  <c r="D17" i="7"/>
  <c r="C17" i="7"/>
  <c r="B17" i="7"/>
  <c r="I16" i="7"/>
  <c r="A16" i="7"/>
  <c r="I15" i="7"/>
  <c r="A15" i="7"/>
  <c r="I14" i="7"/>
  <c r="A14" i="7"/>
  <c r="I13" i="7"/>
  <c r="F13" i="11" s="1"/>
  <c r="A13" i="7"/>
  <c r="I12" i="7"/>
  <c r="F12" i="11" s="1"/>
  <c r="A12" i="7"/>
  <c r="I11" i="7"/>
  <c r="F11" i="11" s="1"/>
  <c r="A11" i="7"/>
  <c r="I10" i="7"/>
  <c r="F10" i="11" s="1"/>
  <c r="A10" i="7"/>
  <c r="I9" i="7"/>
  <c r="F9" i="11" s="1"/>
  <c r="A9" i="7"/>
  <c r="I8" i="7"/>
  <c r="F8" i="11" s="1"/>
  <c r="A8" i="7"/>
  <c r="I7" i="7"/>
  <c r="A7" i="7"/>
  <c r="I6" i="7"/>
  <c r="A6" i="7"/>
  <c r="I5" i="7"/>
  <c r="A5" i="7"/>
  <c r="H33" i="6"/>
  <c r="G33" i="6"/>
  <c r="F33" i="6"/>
  <c r="E33" i="6"/>
  <c r="D33" i="6"/>
  <c r="C33" i="6"/>
  <c r="B33" i="6"/>
  <c r="I32" i="6"/>
  <c r="E38" i="11" s="1"/>
  <c r="I31" i="6"/>
  <c r="E37" i="11" s="1"/>
  <c r="I30" i="6"/>
  <c r="E36" i="11" s="1"/>
  <c r="I29" i="6"/>
  <c r="E35" i="11" s="1"/>
  <c r="I28" i="6"/>
  <c r="H26" i="6"/>
  <c r="G26" i="6"/>
  <c r="F26" i="6"/>
  <c r="E26" i="6"/>
  <c r="D26" i="6"/>
  <c r="C26" i="6"/>
  <c r="B26" i="6"/>
  <c r="I25" i="6"/>
  <c r="E29" i="11" s="1"/>
  <c r="A25" i="6"/>
  <c r="I24" i="6"/>
  <c r="E28" i="11" s="1"/>
  <c r="A24" i="6"/>
  <c r="I23" i="6"/>
  <c r="A23" i="6"/>
  <c r="I22" i="6"/>
  <c r="A22" i="6"/>
  <c r="I21" i="6"/>
  <c r="E25" i="11" s="1"/>
  <c r="A21" i="6"/>
  <c r="I19" i="6"/>
  <c r="E21" i="11" s="1"/>
  <c r="A19" i="6"/>
  <c r="H17" i="6"/>
  <c r="G17" i="6"/>
  <c r="F17" i="6"/>
  <c r="E17" i="6"/>
  <c r="D17" i="6"/>
  <c r="C17" i="6"/>
  <c r="B17" i="6"/>
  <c r="I16" i="6"/>
  <c r="E16" i="11" s="1"/>
  <c r="A16" i="6"/>
  <c r="I15" i="6"/>
  <c r="A15" i="6"/>
  <c r="I14" i="6"/>
  <c r="A14" i="6"/>
  <c r="I13" i="6"/>
  <c r="E13" i="11" s="1"/>
  <c r="A13" i="6"/>
  <c r="I12" i="6"/>
  <c r="E12" i="11" s="1"/>
  <c r="A12" i="6"/>
  <c r="I11" i="6"/>
  <c r="E11" i="11" s="1"/>
  <c r="A11" i="6"/>
  <c r="I10" i="6"/>
  <c r="E10" i="11" s="1"/>
  <c r="A10" i="6"/>
  <c r="I9" i="6"/>
  <c r="E9" i="11" s="1"/>
  <c r="A9" i="6"/>
  <c r="I8" i="6"/>
  <c r="E8" i="11" s="1"/>
  <c r="A8" i="6"/>
  <c r="I7" i="6"/>
  <c r="E7" i="11" s="1"/>
  <c r="A7" i="6"/>
  <c r="I6" i="6"/>
  <c r="E6" i="11" s="1"/>
  <c r="A6" i="6"/>
  <c r="I5" i="6"/>
  <c r="A5" i="6"/>
  <c r="H33" i="5"/>
  <c r="G33" i="5"/>
  <c r="F33" i="5"/>
  <c r="E33" i="5"/>
  <c r="D33" i="5"/>
  <c r="C33" i="5"/>
  <c r="B33" i="5"/>
  <c r="I32" i="5"/>
  <c r="D38" i="11" s="1"/>
  <c r="I31" i="5"/>
  <c r="D37" i="11" s="1"/>
  <c r="I30" i="5"/>
  <c r="D36" i="11" s="1"/>
  <c r="I29" i="5"/>
  <c r="I28" i="5"/>
  <c r="D34" i="11" s="1"/>
  <c r="H26" i="5"/>
  <c r="G26" i="5"/>
  <c r="F26" i="5"/>
  <c r="E26" i="5"/>
  <c r="D26" i="5"/>
  <c r="C26" i="5"/>
  <c r="B26" i="5"/>
  <c r="I25" i="5"/>
  <c r="D29" i="11" s="1"/>
  <c r="A25" i="5"/>
  <c r="I24" i="5"/>
  <c r="D28" i="11" s="1"/>
  <c r="A24" i="5"/>
  <c r="I23" i="5"/>
  <c r="D27" i="11" s="1"/>
  <c r="A23" i="5"/>
  <c r="I22" i="5"/>
  <c r="D26" i="11" s="1"/>
  <c r="A22" i="5"/>
  <c r="I21" i="5"/>
  <c r="D25" i="11" s="1"/>
  <c r="A21" i="5"/>
  <c r="I19" i="5"/>
  <c r="D21" i="11" s="1"/>
  <c r="A19" i="5"/>
  <c r="H17" i="5"/>
  <c r="G17" i="5"/>
  <c r="F17" i="5"/>
  <c r="E17" i="5"/>
  <c r="D17" i="5"/>
  <c r="C17" i="5"/>
  <c r="B17" i="5"/>
  <c r="I16" i="5"/>
  <c r="D16" i="11" s="1"/>
  <c r="A16" i="5"/>
  <c r="I15" i="5"/>
  <c r="D15" i="11" s="1"/>
  <c r="A15" i="5"/>
  <c r="I14" i="5"/>
  <c r="D14" i="11" s="1"/>
  <c r="A14" i="5"/>
  <c r="I13" i="5"/>
  <c r="D13" i="11" s="1"/>
  <c r="A13" i="5"/>
  <c r="I12" i="5"/>
  <c r="D12" i="11" s="1"/>
  <c r="A12" i="5"/>
  <c r="I11" i="5"/>
  <c r="D11" i="11" s="1"/>
  <c r="A11" i="5"/>
  <c r="I10" i="5"/>
  <c r="D10" i="11" s="1"/>
  <c r="A10" i="5"/>
  <c r="I9" i="5"/>
  <c r="D9" i="11" s="1"/>
  <c r="A9" i="5"/>
  <c r="I8" i="5"/>
  <c r="D8" i="11" s="1"/>
  <c r="A8" i="5"/>
  <c r="I7" i="5"/>
  <c r="A7" i="5"/>
  <c r="I6" i="5"/>
  <c r="D6" i="11" s="1"/>
  <c r="A6" i="5"/>
  <c r="I5" i="5"/>
  <c r="D5" i="11" s="1"/>
  <c r="A5" i="5"/>
  <c r="I29" i="4"/>
  <c r="C35" i="11" s="1"/>
  <c r="I30" i="4"/>
  <c r="C36" i="11" s="1"/>
  <c r="I31" i="4"/>
  <c r="C37" i="11" s="1"/>
  <c r="I32" i="4"/>
  <c r="C38" i="11" s="1"/>
  <c r="I6" i="4"/>
  <c r="C6" i="11" s="1"/>
  <c r="I7" i="4"/>
  <c r="C7" i="11" s="1"/>
  <c r="I8" i="4"/>
  <c r="C8" i="11" s="1"/>
  <c r="I9" i="4"/>
  <c r="C9" i="11" s="1"/>
  <c r="I10" i="4"/>
  <c r="C10" i="11" s="1"/>
  <c r="I11" i="4"/>
  <c r="C11" i="11" s="1"/>
  <c r="I12" i="4"/>
  <c r="C12" i="11" s="1"/>
  <c r="I13" i="4"/>
  <c r="C13" i="11" s="1"/>
  <c r="I14" i="4"/>
  <c r="C14" i="11" s="1"/>
  <c r="I15" i="4"/>
  <c r="C15" i="11" s="1"/>
  <c r="I16" i="4"/>
  <c r="I22" i="4"/>
  <c r="C26" i="11" s="1"/>
  <c r="I23" i="4"/>
  <c r="C27" i="11" s="1"/>
  <c r="I24" i="4"/>
  <c r="C28" i="11" s="1"/>
  <c r="I25" i="4"/>
  <c r="C29" i="11" s="1"/>
  <c r="K29" i="11" s="1"/>
  <c r="I16" i="11"/>
  <c r="I15" i="11"/>
  <c r="I5" i="11"/>
  <c r="H16" i="11"/>
  <c r="H15" i="11"/>
  <c r="H6" i="11"/>
  <c r="H5" i="11"/>
  <c r="G21" i="11"/>
  <c r="G16" i="11"/>
  <c r="G6" i="11"/>
  <c r="F16" i="11"/>
  <c r="F15" i="11"/>
  <c r="F7" i="11"/>
  <c r="F6" i="11"/>
  <c r="F5" i="11"/>
  <c r="E5" i="11"/>
  <c r="D7" i="11"/>
  <c r="F21" i="11"/>
  <c r="A22" i="4"/>
  <c r="A23" i="4"/>
  <c r="A24" i="4"/>
  <c r="A25" i="4"/>
  <c r="A21" i="4"/>
  <c r="I14" i="11"/>
  <c r="G5" i="11"/>
  <c r="G7" i="11"/>
  <c r="G14" i="11"/>
  <c r="G15" i="11"/>
  <c r="F14" i="11"/>
  <c r="E14" i="11"/>
  <c r="E15" i="11"/>
  <c r="B30" i="11"/>
  <c r="A19" i="4"/>
  <c r="A6" i="4"/>
  <c r="A7" i="4"/>
  <c r="A8" i="4"/>
  <c r="A9" i="4"/>
  <c r="A10" i="4"/>
  <c r="A11" i="4"/>
  <c r="A12" i="4"/>
  <c r="A13" i="4"/>
  <c r="A14" i="4"/>
  <c r="A15" i="4"/>
  <c r="A16" i="4"/>
  <c r="A5" i="4"/>
  <c r="H26" i="4"/>
  <c r="G26" i="4"/>
  <c r="F26" i="4"/>
  <c r="E26" i="4"/>
  <c r="D26" i="4"/>
  <c r="C26" i="4"/>
  <c r="B26" i="4"/>
  <c r="I21" i="4"/>
  <c r="C25" i="11" s="1"/>
  <c r="I19" i="4"/>
  <c r="H17" i="4"/>
  <c r="G17" i="4"/>
  <c r="F17" i="4"/>
  <c r="E17" i="4"/>
  <c r="D17" i="4"/>
  <c r="C17" i="4"/>
  <c r="B17" i="4"/>
  <c r="I5" i="4"/>
  <c r="C5" i="11" s="1"/>
  <c r="I26" i="5" l="1"/>
  <c r="I17" i="10"/>
  <c r="I33" i="10"/>
  <c r="H35" i="9"/>
  <c r="I33" i="9"/>
  <c r="I26" i="9"/>
  <c r="I26" i="8"/>
  <c r="G35" i="8"/>
  <c r="F35" i="8"/>
  <c r="B35" i="8"/>
  <c r="I26" i="7"/>
  <c r="G35" i="7"/>
  <c r="I17" i="7"/>
  <c r="C35" i="6"/>
  <c r="K37" i="11"/>
  <c r="I33" i="5"/>
  <c r="I35" i="5" s="1"/>
  <c r="D35" i="11"/>
  <c r="K35" i="11" s="1"/>
  <c r="F39" i="11"/>
  <c r="K36" i="11"/>
  <c r="K26" i="11"/>
  <c r="K6" i="11"/>
  <c r="K28" i="11"/>
  <c r="K5" i="11"/>
  <c r="K15" i="11"/>
  <c r="K27" i="11"/>
  <c r="K38" i="11"/>
  <c r="K25" i="11"/>
  <c r="I17" i="5"/>
  <c r="K11" i="11"/>
  <c r="K14" i="11"/>
  <c r="K13" i="11"/>
  <c r="K10" i="11"/>
  <c r="K7" i="11"/>
  <c r="K8" i="11"/>
  <c r="K9" i="11"/>
  <c r="K12" i="11"/>
  <c r="E35" i="10"/>
  <c r="B41" i="11"/>
  <c r="C7" i="1" s="1"/>
  <c r="D7" i="1" s="1"/>
  <c r="E7" i="1" s="1" a="1"/>
  <c r="E7" i="1" s="1"/>
  <c r="F7" i="1" s="1" a="1"/>
  <c r="F7" i="1" s="1"/>
  <c r="G7" i="1" s="1" a="1"/>
  <c r="G7" i="1" s="1"/>
  <c r="H7" i="1" s="1" a="1"/>
  <c r="H7" i="1" s="1"/>
  <c r="I7" i="1" s="1" a="1"/>
  <c r="I7" i="1" s="1"/>
  <c r="E35" i="8"/>
  <c r="I26" i="10"/>
  <c r="I35" i="10" s="1"/>
  <c r="C35" i="10"/>
  <c r="D35" i="10"/>
  <c r="I36" i="11"/>
  <c r="I39" i="11"/>
  <c r="F35" i="10"/>
  <c r="G35" i="10"/>
  <c r="H35" i="10"/>
  <c r="H34" i="11"/>
  <c r="B35" i="9"/>
  <c r="C35" i="9"/>
  <c r="D35" i="9"/>
  <c r="E35" i="9"/>
  <c r="F35" i="9"/>
  <c r="G35" i="9"/>
  <c r="C35" i="8"/>
  <c r="I33" i="8"/>
  <c r="I35" i="8"/>
  <c r="D35" i="8"/>
  <c r="G34" i="11"/>
  <c r="G39" i="11" s="1"/>
  <c r="I33" i="7"/>
  <c r="E35" i="7"/>
  <c r="C35" i="7"/>
  <c r="F35" i="7"/>
  <c r="D35" i="7"/>
  <c r="H35" i="7"/>
  <c r="I26" i="6"/>
  <c r="G35" i="6"/>
  <c r="H35" i="6"/>
  <c r="I33" i="6"/>
  <c r="H35" i="5"/>
  <c r="F35" i="5"/>
  <c r="D35" i="5"/>
  <c r="G35" i="5"/>
  <c r="C35" i="5"/>
  <c r="J27" i="11"/>
  <c r="D39" i="11"/>
  <c r="I17" i="6"/>
  <c r="J26" i="11"/>
  <c r="J25" i="11"/>
  <c r="J29" i="11"/>
  <c r="J28" i="11"/>
  <c r="E34" i="11"/>
  <c r="E39" i="11" s="1"/>
  <c r="D35" i="6"/>
  <c r="E35" i="6"/>
  <c r="F35" i="6"/>
  <c r="E35" i="5"/>
  <c r="J36" i="11"/>
  <c r="J37" i="11"/>
  <c r="J38" i="11"/>
  <c r="H39" i="11"/>
  <c r="B35" i="10"/>
  <c r="I17" i="9"/>
  <c r="I35" i="9" s="1"/>
  <c r="B35" i="7"/>
  <c r="B35" i="6"/>
  <c r="B35" i="5"/>
  <c r="J9" i="11"/>
  <c r="J8" i="11"/>
  <c r="J7" i="11"/>
  <c r="J6" i="11"/>
  <c r="J5" i="11"/>
  <c r="E17" i="11"/>
  <c r="I17" i="11"/>
  <c r="H17" i="11"/>
  <c r="G17" i="11"/>
  <c r="F17" i="11"/>
  <c r="D17" i="11"/>
  <c r="I17" i="4"/>
  <c r="J1" i="11"/>
  <c r="A2" i="10"/>
  <c r="A2" i="9"/>
  <c r="A2" i="8"/>
  <c r="A2" i="7"/>
  <c r="A2" i="6"/>
  <c r="A2" i="5"/>
  <c r="J2" i="5" s="1"/>
  <c r="J10" i="11"/>
  <c r="J11" i="11"/>
  <c r="J12" i="11"/>
  <c r="J13" i="11"/>
  <c r="C21" i="11"/>
  <c r="I28" i="4"/>
  <c r="C34" i="11" s="1"/>
  <c r="K34" i="11" s="1"/>
  <c r="B33" i="4"/>
  <c r="C33" i="4"/>
  <c r="D33" i="4"/>
  <c r="E33" i="4"/>
  <c r="F33" i="4"/>
  <c r="F35" i="4" s="1"/>
  <c r="G33" i="4"/>
  <c r="G35" i="4" s="1"/>
  <c r="H33" i="4"/>
  <c r="H35" i="4" s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J44" i="1" s="1"/>
  <c r="I45" i="1"/>
  <c r="J45" i="1" s="1"/>
  <c r="I46" i="1"/>
  <c r="J46" i="1" s="1"/>
  <c r="I47" i="1"/>
  <c r="J47" i="1" s="1"/>
  <c r="I48" i="1"/>
  <c r="J48" i="1" s="1"/>
  <c r="I49" i="1"/>
  <c r="I50" i="1"/>
  <c r="J50" i="1" s="1"/>
  <c r="I51" i="1"/>
  <c r="J51" i="1" s="1"/>
  <c r="I52" i="1"/>
  <c r="I53" i="1"/>
  <c r="J53" i="1" s="1"/>
  <c r="I54" i="1"/>
  <c r="I55" i="1"/>
  <c r="I56" i="1"/>
  <c r="I57" i="1"/>
  <c r="J57" i="1" s="1"/>
  <c r="I58" i="1"/>
  <c r="J58" i="1" s="1"/>
  <c r="I59" i="1"/>
  <c r="I60" i="1"/>
  <c r="I61" i="1"/>
  <c r="I62" i="1"/>
  <c r="I63" i="1"/>
  <c r="I64" i="1"/>
  <c r="J64" i="1" s="1"/>
  <c r="I65" i="1"/>
  <c r="I66" i="1"/>
  <c r="I67" i="1"/>
  <c r="I68" i="1"/>
  <c r="J68" i="1" s="1"/>
  <c r="I69" i="1"/>
  <c r="I70" i="1"/>
  <c r="J70" i="1" s="1"/>
  <c r="I71" i="1"/>
  <c r="J71" i="1" s="1"/>
  <c r="I72" i="1"/>
  <c r="J72" i="1" s="1"/>
  <c r="I73" i="1"/>
  <c r="J73" i="1" s="1"/>
  <c r="I74" i="1"/>
  <c r="I75" i="1"/>
  <c r="I76" i="1"/>
  <c r="I77" i="1"/>
  <c r="I78" i="1"/>
  <c r="I79" i="1"/>
  <c r="I29" i="1"/>
  <c r="I30" i="1"/>
  <c r="I31" i="1"/>
  <c r="K23" i="1"/>
  <c r="J36" i="1"/>
  <c r="J37" i="1"/>
  <c r="J38" i="1"/>
  <c r="J39" i="1"/>
  <c r="J40" i="1"/>
  <c r="J62" i="1"/>
  <c r="J63" i="1"/>
  <c r="J65" i="1"/>
  <c r="J66" i="1"/>
  <c r="J67" i="1"/>
  <c r="J43" i="1"/>
  <c r="J55" i="1"/>
  <c r="J61" i="1"/>
  <c r="J74" i="1"/>
  <c r="J75" i="1"/>
  <c r="J76" i="1"/>
  <c r="J77" i="1"/>
  <c r="J78" i="1"/>
  <c r="J28" i="1"/>
  <c r="J29" i="1"/>
  <c r="J30" i="1"/>
  <c r="J79" i="1"/>
  <c r="J54" i="1"/>
  <c r="J41" i="1"/>
  <c r="J42" i="1"/>
  <c r="J52" i="1"/>
  <c r="J59" i="1"/>
  <c r="J60" i="1"/>
  <c r="J69" i="1"/>
  <c r="I28" i="1"/>
  <c r="J56" i="1" l="1"/>
  <c r="B23" i="1"/>
  <c r="D23" i="1"/>
  <c r="J35" i="11"/>
  <c r="I35" i="7"/>
  <c r="A36" i="7"/>
  <c r="F5" i="1" s="1"/>
  <c r="K30" i="11"/>
  <c r="K39" i="11"/>
  <c r="J21" i="11"/>
  <c r="K21" i="11"/>
  <c r="A36" i="8"/>
  <c r="G5" i="1" s="1"/>
  <c r="I35" i="6"/>
  <c r="A36" i="10"/>
  <c r="I5" i="1" s="1"/>
  <c r="H41" i="11"/>
  <c r="A36" i="9"/>
  <c r="H5" i="1" s="1"/>
  <c r="J31" i="1"/>
  <c r="A36" i="6"/>
  <c r="E5" i="1" s="1"/>
  <c r="F37" i="5"/>
  <c r="D5" i="1" s="1"/>
  <c r="J34" i="11"/>
  <c r="C39" i="11"/>
  <c r="D30" i="11"/>
  <c r="D41" i="11" s="1"/>
  <c r="E30" i="11"/>
  <c r="E41" i="11" s="1"/>
  <c r="F30" i="11"/>
  <c r="F41" i="11" s="1"/>
  <c r="G30" i="11"/>
  <c r="G41" i="11" s="1"/>
  <c r="C30" i="11"/>
  <c r="I30" i="11"/>
  <c r="I41" i="11" s="1"/>
  <c r="H30" i="11"/>
  <c r="I33" i="4"/>
  <c r="J14" i="11"/>
  <c r="C16" i="11"/>
  <c r="J15" i="11"/>
  <c r="E35" i="4"/>
  <c r="D35" i="4"/>
  <c r="C35" i="4"/>
  <c r="I26" i="4"/>
  <c r="B35" i="4"/>
  <c r="D2" i="1"/>
  <c r="H9" i="1" l="1"/>
  <c r="J16" i="11"/>
  <c r="J17" i="11" s="1"/>
  <c r="K16" i="11"/>
  <c r="K17" i="11" s="1"/>
  <c r="I35" i="4"/>
  <c r="J39" i="11"/>
  <c r="J30" i="11"/>
  <c r="C17" i="11"/>
  <c r="C41" i="11" s="1"/>
  <c r="F37" i="4"/>
  <c r="C5" i="1" s="1"/>
  <c r="C6" i="1" s="1"/>
  <c r="J33" i="1"/>
  <c r="F9" i="1"/>
  <c r="J35" i="1" s="1"/>
  <c r="B9" i="1"/>
  <c r="C9" i="1"/>
  <c r="G9" i="1"/>
  <c r="D9" i="1"/>
  <c r="E9" i="1"/>
  <c r="K41" i="11" l="1" a="1"/>
  <c r="K41" i="11" s="1"/>
  <c r="D6" i="1"/>
  <c r="D8" i="1" s="1"/>
  <c r="J41" i="11"/>
  <c r="A43" i="11"/>
  <c r="C8" i="1"/>
  <c r="E6" i="1" l="1"/>
  <c r="F6" i="1" s="1"/>
  <c r="J32" i="1" s="1"/>
  <c r="F8" i="1" l="1"/>
  <c r="J34" i="1" s="1"/>
  <c r="G6" i="1"/>
  <c r="G8" i="1" s="1"/>
  <c r="E8" i="1"/>
  <c r="H6" i="1" l="1"/>
  <c r="I6" i="1" s="1"/>
  <c r="H8" i="1" l="1"/>
  <c r="I8" i="1"/>
  <c r="H23" i="1"/>
  <c r="S37" i="5" s="1"/>
  <c r="F23" i="1" l="1"/>
  <c r="J49" i="1" s="1"/>
  <c r="S3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<sst xmlns="http://schemas.openxmlformats.org/spreadsheetml/2006/main" count="287" uniqueCount="123">
  <si>
    <t>PLANT</t>
  </si>
  <si>
    <t>Kansas City</t>
  </si>
  <si>
    <t>DAILY TOTAL</t>
  </si>
  <si>
    <t>DAILY =/-</t>
  </si>
  <si>
    <t>RUNNING TOTAL</t>
  </si>
  <si>
    <t>SUNDAY</t>
  </si>
  <si>
    <t>MONDAY</t>
  </si>
  <si>
    <t>TUESDAY</t>
  </si>
  <si>
    <t>WEDNESDAY</t>
  </si>
  <si>
    <t>THURSDAY</t>
  </si>
  <si>
    <t>FRIDAY</t>
  </si>
  <si>
    <t>SATURDAY</t>
  </si>
  <si>
    <t>Keep this rows values for the threshold line in the chart</t>
  </si>
  <si>
    <t>WEEKLY TOTAL</t>
  </si>
  <si>
    <t>WEEK NUMBER</t>
  </si>
  <si>
    <t xml:space="preserve">PRODUCTION LOG </t>
  </si>
  <si>
    <t>NOTES</t>
  </si>
  <si>
    <t>Email Recipients</t>
  </si>
  <si>
    <t>Mike Fisher</t>
  </si>
  <si>
    <t>Report Save Location</t>
  </si>
  <si>
    <t>FULL NAME</t>
  </si>
  <si>
    <t>EMAIL ADDRESS</t>
  </si>
  <si>
    <t>mfisher@tension.com</t>
  </si>
  <si>
    <t>ANALYZE DATA</t>
  </si>
  <si>
    <t>FROM</t>
  </si>
  <si>
    <t>TO</t>
  </si>
  <si>
    <t>Week Number</t>
  </si>
  <si>
    <t>Production</t>
  </si>
  <si>
    <t>YEARLY GOAL</t>
  </si>
  <si>
    <t>QTY WEEKS BELOW GOAL</t>
  </si>
  <si>
    <t>QTY WEEKS ABOVE GOAL</t>
  </si>
  <si>
    <t>WEEKLY GOAL BALANCE</t>
  </si>
  <si>
    <t>YTD      PRODUCTION</t>
  </si>
  <si>
    <t>YTD GOAL</t>
  </si>
  <si>
    <t>TOTAL</t>
  </si>
  <si>
    <t>TOTAL 628</t>
  </si>
  <si>
    <t>TOTAL 102</t>
  </si>
  <si>
    <t>TOTAL 527</t>
  </si>
  <si>
    <t>3RD</t>
  </si>
  <si>
    <t>2ND</t>
  </si>
  <si>
    <t>1ST</t>
  </si>
  <si>
    <t>D</t>
  </si>
  <si>
    <t>C</t>
  </si>
  <si>
    <t>B</t>
  </si>
  <si>
    <t>A</t>
  </si>
  <si>
    <t>MACH#</t>
  </si>
  <si>
    <t>FOLDING DEPARTMENT</t>
  </si>
  <si>
    <t>628 WEB</t>
  </si>
  <si>
    <t>102 WEB</t>
  </si>
  <si>
    <t>R-14</t>
  </si>
  <si>
    <t>24/5</t>
  </si>
  <si>
    <t>38 WEB</t>
  </si>
  <si>
    <t>527 WEB</t>
  </si>
  <si>
    <t>GOAL</t>
  </si>
  <si>
    <t>SAT</t>
  </si>
  <si>
    <t>FRI</t>
  </si>
  <si>
    <t>THUR</t>
  </si>
  <si>
    <t>WED</t>
  </si>
  <si>
    <t>TUE</t>
  </si>
  <si>
    <t>MON</t>
  </si>
  <si>
    <t>SUN</t>
  </si>
  <si>
    <t>24/7</t>
  </si>
  <si>
    <t>WEEKLY</t>
  </si>
  <si>
    <t xml:space="preserve">WEEK OF: </t>
  </si>
  <si>
    <t>DAILY PRODUCTION BY MACHINE</t>
  </si>
  <si>
    <t>Plant Location</t>
  </si>
  <si>
    <t>527 1</t>
  </si>
  <si>
    <t>527 2</t>
  </si>
  <si>
    <t>527 3</t>
  </si>
  <si>
    <t>527 4</t>
  </si>
  <si>
    <t>527 5</t>
  </si>
  <si>
    <t>527 6</t>
  </si>
  <si>
    <t>527 7</t>
  </si>
  <si>
    <t>527 8</t>
  </si>
  <si>
    <t>527 9</t>
  </si>
  <si>
    <t>527 10</t>
  </si>
  <si>
    <t>527 12</t>
  </si>
  <si>
    <t>102 1</t>
  </si>
  <si>
    <t>102 2</t>
  </si>
  <si>
    <t>102 3</t>
  </si>
  <si>
    <t>102 4</t>
  </si>
  <si>
    <t>102 5</t>
  </si>
  <si>
    <t>628 1</t>
  </si>
  <si>
    <t>628 2</t>
  </si>
  <si>
    <t>628 3</t>
  </si>
  <si>
    <t>628 4</t>
  </si>
  <si>
    <t>628 5</t>
  </si>
  <si>
    <t>*Upon the first trigger of the 'Wrap it Up' button the workbook will create a folder at the same location as itself labeled 'End of Week', take note of this location above if you wish</t>
  </si>
  <si>
    <t>added number formatting on worksheets and email subject line to match Envelope industry.</t>
  </si>
  <si>
    <t>added chart for Weekly Production by Machine</t>
  </si>
  <si>
    <t>*Weekly Goal based on days with production values present.  (Daily Goal * Qty of Days with production.</t>
  </si>
  <si>
    <t>Production Goal Defined but no production producded.</t>
  </si>
  <si>
    <t>RUNNING TOTAL PRODUCTION</t>
  </si>
  <si>
    <t>Attachment Options:</t>
  </si>
  <si>
    <t>Added code to produce Daily Reports for each days sheet.</t>
  </si>
  <si>
    <t>Added conditional formatting to DAILY J5:J41, if J&lt;K then highlight</t>
  </si>
  <si>
    <t>Cheetah</t>
  </si>
  <si>
    <t>Set cell protection of worksheets</t>
  </si>
  <si>
    <t>Holiday Schedule</t>
  </si>
  <si>
    <t>Name</t>
  </si>
  <si>
    <t>Date</t>
  </si>
  <si>
    <t>HOLIDAY - Holidays defined on the settings sheet.</t>
  </si>
  <si>
    <t>Production Days</t>
  </si>
  <si>
    <t>Weekly Goal</t>
  </si>
  <si>
    <t>created a method for calculating the weekly goals that accomodates for the holidays.</t>
  </si>
  <si>
    <t>Modified DAILY &amp; WEEKLY GOALS formulas to take into account holidays.</t>
  </si>
  <si>
    <t>Modified RUNNING GOAL to accommodate for holidays</t>
  </si>
  <si>
    <t>Add conditonal formatting to inform user of holidays on DAILY worksheet.</t>
  </si>
  <si>
    <t>Take Note</t>
  </si>
  <si>
    <t>Daily Goal Total is a sum of all goals input by a user, this amount should pretty much match the Daily Goal set forth in Summary sheet. If these are not close the run capabilites of the machines have not been optimized by a user.</t>
  </si>
  <si>
    <t>PROJECTED DAILY GOAL</t>
  </si>
  <si>
    <t>PROJECTED WEEKLY GOAL</t>
  </si>
  <si>
    <t>PLANNED RUNNING GOAL</t>
  </si>
  <si>
    <t>PLANNED DAILY</t>
  </si>
  <si>
    <t>Edited email Subject line and body</t>
  </si>
  <si>
    <t>Attach Workbook to email</t>
  </si>
  <si>
    <t>Modified so workbook is always attached to email</t>
  </si>
  <si>
    <t>Copy the weeks production values to the table below</t>
  </si>
  <si>
    <t>Clear daily fields for data input</t>
  </si>
  <si>
    <t>Set page format for pdf/hard copyof Daily reports</t>
  </si>
  <si>
    <t>Added conditional formatting to Planned Running Goal cells to inform users of holiday</t>
  </si>
  <si>
    <t xml:space="preserve">****add a save process to end of macro </t>
  </si>
  <si>
    <t>Added conditional formatting for DAILY GOAL, if planned DAILY sheet DAILY GOAL TOTAL is less than Summary sheet PROJECTED DAILY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</si>
</sst>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[$-409]mmmm\ d\,\ yyyy;@"/>
    <numFmt numFmtId="167" formatCode="#,##0.000,,&quot;m&quot;"/>
    <numFmt numFmtId="168" formatCode="#,##0,,&quot;M&quot;;\-#,##0,,&quot;M&quot;"/>
  </numFmts>
  <fonts count="3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0"/>
      <color theme="3" tint="0.499984740745262"/>
      <name val="Aptos Narrow"/>
      <family val="2"/>
      <scheme val="minor"/>
    </font>
    <font>
      <i/>
      <sz val="10"/>
      <color theme="0" tint="-0.34998626667073579"/>
      <name val="Aptos Narrow"/>
      <family val="2"/>
      <scheme val="minor"/>
    </font>
    <font>
      <sz val="11"/>
      <color rgb="FFEE0000"/>
      <name val="Aptos Narrow"/>
      <family val="2"/>
      <scheme val="minor"/>
    </font>
    <font>
      <sz val="10"/>
      <name val="Arial"/>
      <family val="2"/>
    </font>
    <font>
      <b/>
      <sz val="36"/>
      <color rgb="FF7030A0"/>
      <name val="Arial"/>
      <family val="2"/>
    </font>
    <font>
      <b/>
      <sz val="12"/>
      <color rgb="FF7030A0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indexed="10"/>
      <name val="Arial"/>
      <family val="2"/>
    </font>
    <font>
      <sz val="12"/>
      <color rgb="FFFF000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8"/>
      <name val="Aptos Narrow"/>
      <family val="2"/>
      <scheme val="minor"/>
    </font>
    <font>
      <i/>
      <sz val="10"/>
      <color rgb="FFEE0000"/>
      <name val="Arial"/>
      <family val="2"/>
    </font>
    <font>
      <sz val="10"/>
      <color theme="3" tint="0.499984740745262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0"/>
      <color theme="5" tint="-0.249977111117893"/>
      <name val="Arial"/>
      <family val="2"/>
    </font>
    <font>
      <b/>
      <sz val="12"/>
      <color theme="5" tint="-0.249977111117893"/>
      <name val="Aptos Narrow"/>
      <family val="2"/>
      <scheme val="minor"/>
    </font>
    <font>
      <b/>
      <sz val="10"/>
      <color theme="5" tint="-0.249977111117893"/>
      <name val="Aptos Narrow"/>
      <family val="2"/>
      <scheme val="minor"/>
    </font>
    <font>
      <b/>
      <sz val="12"/>
      <color theme="3" tint="9.9978637043366805E-2"/>
      <name val="Aptos Narrow"/>
      <family val="2"/>
      <scheme val="minor"/>
    </font>
    <font>
      <b/>
      <sz val="10"/>
      <color theme="3" tint="9.9978637043366805E-2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Arial"/>
      <family val="2"/>
    </font>
    <font>
      <sz val="10"/>
      <color theme="0" tint="-0.34998626667073579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theme="4" tint="0.5999938962981048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6" tint="0.39997558519241921"/>
      </left>
      <right style="thin">
        <color theme="6" tint="0.39997558519241921"/>
      </right>
      <top/>
      <bottom style="thin">
        <color theme="6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9" fillId="0" borderId="0"/>
    <xf numFmtId="43" fontId="9" fillId="0" borderId="0" applyFont="0" applyFill="0" applyBorder="0" applyAlignment="0" applyProtection="0"/>
  </cellStyleXfs>
  <cellXfs count="191">
    <xf numFmtId="0" fontId="0" fillId="0" borderId="0" xfId="0"/>
    <xf numFmtId="0" fontId="2" fillId="2" borderId="0" xfId="0" applyFont="1" applyFill="1" applyAlignment="1">
      <alignment horizontal="center"/>
    </xf>
    <xf numFmtId="43" fontId="3" fillId="6" borderId="0" xfId="0" applyNumberFormat="1" applyFont="1" applyFill="1"/>
    <xf numFmtId="0" fontId="0" fillId="6" borderId="0" xfId="0" applyFill="1"/>
    <xf numFmtId="0" fontId="0" fillId="5" borderId="9" xfId="0" applyFill="1" applyBorder="1"/>
    <xf numFmtId="0" fontId="0" fillId="4" borderId="1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5" borderId="8" xfId="0" applyFill="1" applyBorder="1"/>
    <xf numFmtId="0" fontId="0" fillId="2" borderId="0" xfId="0" applyFill="1"/>
    <xf numFmtId="0" fontId="0" fillId="0" borderId="19" xfId="0" applyBorder="1" applyAlignment="1">
      <alignment horizontal="center"/>
    </xf>
    <xf numFmtId="0" fontId="4" fillId="2" borderId="30" xfId="0" applyFont="1" applyFill="1" applyBorder="1" applyAlignment="1">
      <alignment horizontal="center" wrapText="1"/>
    </xf>
    <xf numFmtId="0" fontId="7" fillId="0" borderId="0" xfId="0" applyFont="1"/>
    <xf numFmtId="0" fontId="8" fillId="7" borderId="0" xfId="0" applyFont="1" applyFill="1"/>
    <xf numFmtId="0" fontId="2" fillId="2" borderId="8" xfId="0" applyFont="1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/>
    <xf numFmtId="0" fontId="0" fillId="2" borderId="15" xfId="0" applyFill="1" applyBorder="1"/>
    <xf numFmtId="0" fontId="0" fillId="2" borderId="24" xfId="0" applyFill="1" applyBorder="1"/>
    <xf numFmtId="0" fontId="2" fillId="2" borderId="23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 wrapText="1"/>
    </xf>
    <xf numFmtId="0" fontId="2" fillId="2" borderId="24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wrapText="1"/>
    </xf>
    <xf numFmtId="14" fontId="0" fillId="0" borderId="28" xfId="0" applyNumberFormat="1" applyBorder="1" applyAlignment="1" applyProtection="1">
      <alignment horizontal="center"/>
      <protection locked="0"/>
    </xf>
    <xf numFmtId="14" fontId="0" fillId="0" borderId="32" xfId="0" applyNumberFormat="1" applyBorder="1" applyAlignment="1" applyProtection="1">
      <alignment horizontal="center"/>
      <protection locked="0"/>
    </xf>
    <xf numFmtId="164" fontId="0" fillId="0" borderId="20" xfId="1" applyNumberFormat="1" applyFont="1" applyBorder="1" applyProtection="1">
      <protection locked="0"/>
    </xf>
    <xf numFmtId="164" fontId="0" fillId="4" borderId="12" xfId="1" applyNumberFormat="1" applyFont="1" applyFill="1" applyBorder="1" applyProtection="1">
      <protection locked="0"/>
    </xf>
    <xf numFmtId="164" fontId="0" fillId="0" borderId="12" xfId="1" applyNumberFormat="1" applyFont="1" applyBorder="1" applyProtection="1">
      <protection locked="0"/>
    </xf>
    <xf numFmtId="164" fontId="0" fillId="4" borderId="16" xfId="1" applyNumberFormat="1" applyFont="1" applyFill="1" applyBorder="1" applyProtection="1">
      <protection locked="0"/>
    </xf>
    <xf numFmtId="0" fontId="0" fillId="6" borderId="0" xfId="0" applyFill="1" applyAlignment="1">
      <alignment wrapText="1"/>
    </xf>
    <xf numFmtId="14" fontId="0" fillId="0" borderId="0" xfId="0" applyNumberFormat="1"/>
    <xf numFmtId="0" fontId="9" fillId="0" borderId="0" xfId="3"/>
    <xf numFmtId="0" fontId="12" fillId="0" borderId="0" xfId="3" applyFont="1" applyAlignment="1">
      <alignment horizontal="center"/>
    </xf>
    <xf numFmtId="0" fontId="18" fillId="0" borderId="0" xfId="3" applyFont="1" applyAlignment="1">
      <alignment horizontal="center"/>
    </xf>
    <xf numFmtId="3" fontId="18" fillId="0" borderId="0" xfId="3" applyNumberFormat="1" applyFont="1" applyAlignment="1">
      <alignment horizontal="center"/>
    </xf>
    <xf numFmtId="3" fontId="17" fillId="0" borderId="0" xfId="3" applyNumberFormat="1" applyFont="1" applyAlignment="1">
      <alignment horizontal="center"/>
    </xf>
    <xf numFmtId="0" fontId="12" fillId="0" borderId="0" xfId="3" applyFont="1"/>
    <xf numFmtId="0" fontId="4" fillId="5" borderId="17" xfId="0" applyFont="1" applyFill="1" applyBorder="1"/>
    <xf numFmtId="0" fontId="4" fillId="5" borderId="8" xfId="0" applyFont="1" applyFill="1" applyBorder="1"/>
    <xf numFmtId="0" fontId="4" fillId="5" borderId="9" xfId="0" applyFont="1" applyFill="1" applyBorder="1"/>
    <xf numFmtId="1" fontId="1" fillId="0" borderId="7" xfId="0" applyNumberFormat="1" applyFont="1" applyBorder="1" applyAlignment="1">
      <alignment horizontal="center" shrinkToFit="1"/>
    </xf>
    <xf numFmtId="1" fontId="1" fillId="0" borderId="7" xfId="0" applyNumberFormat="1" applyFont="1" applyBorder="1" applyAlignment="1">
      <alignment horizontal="center" vertical="center" shrinkToFit="1"/>
    </xf>
    <xf numFmtId="3" fontId="12" fillId="0" borderId="0" xfId="3" applyNumberFormat="1" applyFont="1" applyAlignment="1" applyProtection="1">
      <alignment horizontal="center"/>
      <protection locked="0"/>
    </xf>
    <xf numFmtId="3" fontId="11" fillId="0" borderId="0" xfId="4" applyNumberFormat="1" applyFont="1" applyFill="1" applyBorder="1" applyProtection="1"/>
    <xf numFmtId="3" fontId="0" fillId="0" borderId="43" xfId="1" applyNumberFormat="1" applyFont="1" applyBorder="1"/>
    <xf numFmtId="3" fontId="0" fillId="0" borderId="44" xfId="1" applyNumberFormat="1" applyFont="1" applyBorder="1"/>
    <xf numFmtId="3" fontId="0" fillId="0" borderId="45" xfId="1" applyNumberFormat="1" applyFont="1" applyBorder="1"/>
    <xf numFmtId="167" fontId="1" fillId="0" borderId="7" xfId="1" applyNumberFormat="1" applyFont="1" applyFill="1" applyBorder="1" applyAlignment="1">
      <alignment horizontal="center" shrinkToFit="1"/>
    </xf>
    <xf numFmtId="167" fontId="1" fillId="0" borderId="7" xfId="1" applyNumberFormat="1" applyFont="1" applyFill="1" applyBorder="1" applyAlignment="1">
      <alignment shrinkToFit="1"/>
    </xf>
    <xf numFmtId="167" fontId="1" fillId="0" borderId="7" xfId="0" applyNumberFormat="1" applyFont="1" applyBorder="1" applyAlignment="1">
      <alignment shrinkToFit="1"/>
    </xf>
    <xf numFmtId="167" fontId="1" fillId="0" borderId="31" xfId="0" applyNumberFormat="1" applyFont="1" applyBorder="1" applyAlignment="1">
      <alignment shrinkToFit="1"/>
    </xf>
    <xf numFmtId="167" fontId="0" fillId="0" borderId="5" xfId="1" applyNumberFormat="1" applyFont="1" applyBorder="1"/>
    <xf numFmtId="167" fontId="0" fillId="0" borderId="6" xfId="1" applyNumberFormat="1" applyFont="1" applyBorder="1"/>
    <xf numFmtId="167" fontId="0" fillId="4" borderId="1" xfId="1" applyNumberFormat="1" applyFont="1" applyFill="1" applyBorder="1"/>
    <xf numFmtId="167" fontId="0" fillId="4" borderId="3" xfId="1" applyNumberFormat="1" applyFont="1" applyFill="1" applyBorder="1"/>
    <xf numFmtId="167" fontId="0" fillId="0" borderId="1" xfId="1" applyNumberFormat="1" applyFont="1" applyBorder="1"/>
    <xf numFmtId="167" fontId="0" fillId="0" borderId="3" xfId="1" applyNumberFormat="1" applyFont="1" applyBorder="1"/>
    <xf numFmtId="167" fontId="0" fillId="4" borderId="14" xfId="1" applyNumberFormat="1" applyFont="1" applyFill="1" applyBorder="1"/>
    <xf numFmtId="167" fontId="0" fillId="0" borderId="4" xfId="1" applyNumberFormat="1" applyFont="1" applyBorder="1"/>
    <xf numFmtId="167" fontId="0" fillId="3" borderId="2" xfId="1" applyNumberFormat="1" applyFont="1" applyFill="1" applyBorder="1"/>
    <xf numFmtId="167" fontId="0" fillId="3" borderId="1" xfId="1" applyNumberFormat="1" applyFont="1" applyFill="1" applyBorder="1"/>
    <xf numFmtId="167" fontId="0" fillId="3" borderId="3" xfId="1" applyNumberFormat="1" applyFont="1" applyFill="1" applyBorder="1"/>
    <xf numFmtId="168" fontId="0" fillId="0" borderId="6" xfId="1" applyNumberFormat="1" applyFont="1" applyBorder="1"/>
    <xf numFmtId="0" fontId="12" fillId="0" borderId="49" xfId="3" applyFont="1" applyBorder="1"/>
    <xf numFmtId="3" fontId="12" fillId="0" borderId="49" xfId="3" applyNumberFormat="1" applyFont="1" applyBorder="1" applyAlignment="1" applyProtection="1">
      <alignment horizontal="center"/>
      <protection locked="0"/>
    </xf>
    <xf numFmtId="3" fontId="16" fillId="8" borderId="49" xfId="4" applyNumberFormat="1" applyFont="1" applyFill="1" applyBorder="1" applyProtection="1"/>
    <xf numFmtId="0" fontId="15" fillId="0" borderId="49" xfId="3" applyFont="1" applyBorder="1" applyAlignment="1">
      <alignment horizontal="left"/>
    </xf>
    <xf numFmtId="167" fontId="14" fillId="8" borderId="49" xfId="4" applyNumberFormat="1" applyFont="1" applyFill="1" applyBorder="1" applyAlignment="1" applyProtection="1">
      <alignment horizontal="center"/>
    </xf>
    <xf numFmtId="167" fontId="11" fillId="8" borderId="49" xfId="4" applyNumberFormat="1" applyFont="1" applyFill="1" applyBorder="1" applyProtection="1"/>
    <xf numFmtId="3" fontId="17" fillId="8" borderId="49" xfId="4" applyNumberFormat="1" applyFont="1" applyFill="1" applyBorder="1" applyAlignment="1" applyProtection="1">
      <alignment horizontal="center"/>
    </xf>
    <xf numFmtId="167" fontId="14" fillId="8" borderId="49" xfId="3" applyNumberFormat="1" applyFont="1" applyFill="1" applyBorder="1" applyAlignment="1">
      <alignment horizontal="center"/>
    </xf>
    <xf numFmtId="3" fontId="12" fillId="6" borderId="49" xfId="4" applyNumberFormat="1" applyFont="1" applyFill="1" applyBorder="1" applyAlignment="1" applyProtection="1">
      <alignment horizontal="center"/>
      <protection locked="0"/>
    </xf>
    <xf numFmtId="167" fontId="13" fillId="8" borderId="49" xfId="3" applyNumberFormat="1" applyFont="1" applyFill="1" applyBorder="1" applyAlignment="1">
      <alignment horizontal="center"/>
    </xf>
    <xf numFmtId="0" fontId="11" fillId="0" borderId="49" xfId="3" applyFont="1" applyBorder="1" applyAlignment="1">
      <alignment horizontal="left"/>
    </xf>
    <xf numFmtId="167" fontId="11" fillId="8" borderId="49" xfId="3" applyNumberFormat="1" applyFont="1" applyFill="1" applyBorder="1" applyAlignment="1">
      <alignment horizontal="center"/>
    </xf>
    <xf numFmtId="0" fontId="22" fillId="0" borderId="0" xfId="3" applyFont="1"/>
    <xf numFmtId="0" fontId="22" fillId="10" borderId="0" xfId="3" applyFont="1" applyFill="1"/>
    <xf numFmtId="167" fontId="10" fillId="6" borderId="0" xfId="3" applyNumberFormat="1" applyFont="1" applyFill="1"/>
    <xf numFmtId="167" fontId="10" fillId="0" borderId="0" xfId="1" applyNumberFormat="1" applyFont="1" applyFill="1" applyBorder="1" applyAlignment="1">
      <alignment shrinkToFit="1"/>
    </xf>
    <xf numFmtId="3" fontId="17" fillId="8" borderId="49" xfId="4" applyNumberFormat="1" applyFont="1" applyFill="1" applyBorder="1" applyAlignment="1" applyProtection="1">
      <alignment horizontal="center"/>
      <protection locked="0"/>
    </xf>
    <xf numFmtId="0" fontId="17" fillId="0" borderId="0" xfId="3" applyFont="1"/>
    <xf numFmtId="0" fontId="18" fillId="0" borderId="0" xfId="3" applyFont="1"/>
    <xf numFmtId="0" fontId="17" fillId="0" borderId="1" xfId="3" applyFont="1" applyBorder="1" applyAlignment="1">
      <alignment shrinkToFit="1"/>
    </xf>
    <xf numFmtId="3" fontId="12" fillId="0" borderId="5" xfId="3" applyNumberFormat="1" applyFont="1" applyBorder="1" applyAlignment="1">
      <alignment shrinkToFit="1"/>
    </xf>
    <xf numFmtId="0" fontId="17" fillId="0" borderId="5" xfId="3" applyFont="1" applyBorder="1" applyAlignment="1">
      <alignment shrinkToFit="1"/>
    </xf>
    <xf numFmtId="3" fontId="12" fillId="0" borderId="1" xfId="3" applyNumberFormat="1" applyFont="1" applyBorder="1" applyAlignment="1">
      <alignment shrinkToFit="1"/>
    </xf>
    <xf numFmtId="167" fontId="12" fillId="9" borderId="1" xfId="3" applyNumberFormat="1" applyFont="1" applyFill="1" applyBorder="1" applyAlignment="1">
      <alignment shrinkToFit="1"/>
    </xf>
    <xf numFmtId="0" fontId="12" fillId="9" borderId="50" xfId="3" applyFont="1" applyFill="1" applyBorder="1"/>
    <xf numFmtId="167" fontId="12" fillId="9" borderId="35" xfId="3" applyNumberFormat="1" applyFont="1" applyFill="1" applyBorder="1" applyAlignment="1">
      <alignment shrinkToFit="1"/>
    </xf>
    <xf numFmtId="3" fontId="12" fillId="0" borderId="35" xfId="3" applyNumberFormat="1" applyFont="1" applyBorder="1" applyAlignment="1">
      <alignment shrinkToFit="1"/>
    </xf>
    <xf numFmtId="0" fontId="17" fillId="0" borderId="35" xfId="3" applyFont="1" applyBorder="1" applyAlignment="1">
      <alignment shrinkToFit="1"/>
    </xf>
    <xf numFmtId="0" fontId="17" fillId="0" borderId="0" xfId="3" applyFont="1" applyAlignment="1">
      <alignment shrinkToFit="1"/>
    </xf>
    <xf numFmtId="3" fontId="17" fillId="0" borderId="0" xfId="3" applyNumberFormat="1" applyFont="1" applyAlignment="1">
      <alignment shrinkToFit="1"/>
    </xf>
    <xf numFmtId="0" fontId="21" fillId="0" borderId="0" xfId="3" applyFont="1"/>
    <xf numFmtId="3" fontId="12" fillId="0" borderId="37" xfId="3" applyNumberFormat="1" applyFont="1" applyBorder="1" applyAlignment="1">
      <alignment shrinkToFit="1"/>
    </xf>
    <xf numFmtId="3" fontId="12" fillId="0" borderId="34" xfId="3" applyNumberFormat="1" applyFont="1" applyBorder="1" applyAlignment="1">
      <alignment shrinkToFit="1"/>
    </xf>
    <xf numFmtId="3" fontId="12" fillId="0" borderId="38" xfId="3" applyNumberFormat="1" applyFont="1" applyBorder="1" applyAlignment="1">
      <alignment shrinkToFit="1"/>
    </xf>
    <xf numFmtId="167" fontId="12" fillId="9" borderId="37" xfId="3" applyNumberFormat="1" applyFont="1" applyFill="1" applyBorder="1" applyAlignment="1">
      <alignment shrinkToFit="1"/>
    </xf>
    <xf numFmtId="167" fontId="12" fillId="9" borderId="57" xfId="3" applyNumberFormat="1" applyFont="1" applyFill="1" applyBorder="1" applyAlignment="1">
      <alignment shrinkToFit="1"/>
    </xf>
    <xf numFmtId="0" fontId="12" fillId="0" borderId="54" xfId="3" applyFont="1" applyBorder="1" applyAlignment="1" applyProtection="1">
      <alignment shrinkToFit="1"/>
      <protection locked="0"/>
    </xf>
    <xf numFmtId="0" fontId="26" fillId="12" borderId="0" xfId="3" applyFont="1" applyFill="1"/>
    <xf numFmtId="0" fontId="28" fillId="12" borderId="25" xfId="0" applyFont="1" applyFill="1" applyBorder="1" applyAlignment="1">
      <alignment horizontal="center"/>
    </xf>
    <xf numFmtId="0" fontId="28" fillId="12" borderId="10" xfId="0" applyFont="1" applyFill="1" applyBorder="1" applyAlignment="1">
      <alignment horizontal="center"/>
    </xf>
    <xf numFmtId="0" fontId="30" fillId="13" borderId="25" xfId="0" applyFont="1" applyFill="1" applyBorder="1"/>
    <xf numFmtId="0" fontId="30" fillId="13" borderId="10" xfId="0" applyFont="1" applyFill="1" applyBorder="1"/>
    <xf numFmtId="0" fontId="29" fillId="13" borderId="30" xfId="0" applyFont="1" applyFill="1" applyBorder="1" applyAlignment="1">
      <alignment horizontal="center" wrapText="1"/>
    </xf>
    <xf numFmtId="0" fontId="31" fillId="0" borderId="0" xfId="0" applyFont="1"/>
    <xf numFmtId="167" fontId="1" fillId="0" borderId="0" xfId="1" applyNumberFormat="1" applyFont="1" applyBorder="1" applyAlignment="1" applyProtection="1">
      <protection locked="0"/>
    </xf>
    <xf numFmtId="164" fontId="17" fillId="0" borderId="54" xfId="1" applyNumberFormat="1" applyFont="1" applyBorder="1" applyAlignment="1" applyProtection="1">
      <alignment shrinkToFit="1"/>
      <protection locked="0"/>
    </xf>
    <xf numFmtId="167" fontId="1" fillId="0" borderId="31" xfId="1" applyNumberFormat="1" applyFont="1" applyBorder="1" applyAlignment="1" applyProtection="1"/>
    <xf numFmtId="164" fontId="0" fillId="0" borderId="40" xfId="1" applyNumberFormat="1" applyFont="1" applyBorder="1" applyProtection="1"/>
    <xf numFmtId="164" fontId="0" fillId="0" borderId="41" xfId="1" applyNumberFormat="1" applyFont="1" applyBorder="1" applyProtection="1"/>
    <xf numFmtId="164" fontId="0" fillId="0" borderId="42" xfId="1" applyNumberFormat="1" applyFont="1" applyBorder="1" applyProtection="1"/>
    <xf numFmtId="0" fontId="13" fillId="6" borderId="39" xfId="3" applyFont="1" applyFill="1" applyBorder="1" applyAlignment="1" applyProtection="1">
      <alignment horizontal="center" shrinkToFit="1"/>
      <protection locked="0"/>
    </xf>
    <xf numFmtId="0" fontId="32" fillId="6" borderId="33" xfId="3" applyFont="1" applyFill="1" applyBorder="1" applyAlignment="1">
      <alignment horizontal="center"/>
    </xf>
    <xf numFmtId="0" fontId="13" fillId="6" borderId="36" xfId="3" applyFont="1" applyFill="1" applyBorder="1" applyAlignment="1">
      <alignment horizontal="center"/>
    </xf>
    <xf numFmtId="0" fontId="13" fillId="6" borderId="38" xfId="3" applyFont="1" applyFill="1" applyBorder="1" applyAlignment="1">
      <alignment horizontal="center"/>
    </xf>
    <xf numFmtId="0" fontId="13" fillId="6" borderId="55" xfId="3" applyFont="1" applyFill="1" applyBorder="1" applyAlignment="1" applyProtection="1">
      <alignment horizontal="center" shrinkToFit="1"/>
      <protection locked="0"/>
    </xf>
    <xf numFmtId="0" fontId="13" fillId="6" borderId="0" xfId="3" applyFont="1" applyFill="1" applyAlignment="1">
      <alignment horizontal="center"/>
    </xf>
    <xf numFmtId="14" fontId="33" fillId="6" borderId="36" xfId="3" applyNumberFormat="1" applyFont="1" applyFill="1" applyBorder="1" applyAlignment="1">
      <alignment horizontal="center" vertical="center"/>
    </xf>
    <xf numFmtId="0" fontId="13" fillId="6" borderId="37" xfId="3" applyFont="1" applyFill="1" applyBorder="1" applyAlignment="1">
      <alignment horizontal="center"/>
    </xf>
    <xf numFmtId="0" fontId="13" fillId="6" borderId="46" xfId="3" applyFont="1" applyFill="1" applyBorder="1" applyAlignment="1" applyProtection="1">
      <alignment horizontal="center" shrinkToFit="1"/>
      <protection locked="0"/>
    </xf>
    <xf numFmtId="0" fontId="34" fillId="6" borderId="47" xfId="3" applyFont="1" applyFill="1" applyBorder="1" applyAlignment="1">
      <alignment horizontal="center"/>
    </xf>
    <xf numFmtId="0" fontId="13" fillId="6" borderId="48" xfId="3" applyFont="1" applyFill="1" applyBorder="1" applyAlignment="1">
      <alignment horizontal="center"/>
    </xf>
    <xf numFmtId="0" fontId="13" fillId="6" borderId="56" xfId="3" applyFont="1" applyFill="1" applyBorder="1" applyAlignment="1" applyProtection="1">
      <alignment horizontal="center" shrinkToFit="1"/>
      <protection locked="0"/>
    </xf>
    <xf numFmtId="0" fontId="13" fillId="6" borderId="51" xfId="3" applyFont="1" applyFill="1" applyBorder="1" applyAlignment="1">
      <alignment horizontal="center"/>
    </xf>
    <xf numFmtId="0" fontId="13" fillId="6" borderId="52" xfId="3" applyFont="1" applyFill="1" applyBorder="1" applyAlignment="1">
      <alignment horizontal="center"/>
    </xf>
    <xf numFmtId="0" fontId="34" fillId="6" borderId="54" xfId="3" applyFont="1" applyFill="1" applyBorder="1" applyAlignment="1" applyProtection="1">
      <alignment shrinkToFit="1"/>
      <protection locked="0"/>
    </xf>
    <xf numFmtId="167" fontId="13" fillId="6" borderId="54" xfId="3" applyNumberFormat="1" applyFont="1" applyFill="1" applyBorder="1" applyAlignment="1" applyProtection="1">
      <alignment shrinkToFit="1"/>
      <protection locked="0"/>
    </xf>
    <xf numFmtId="167" fontId="34" fillId="6" borderId="52" xfId="3" applyNumberFormat="1" applyFont="1" applyFill="1" applyBorder="1" applyAlignment="1">
      <alignment shrinkToFit="1"/>
    </xf>
    <xf numFmtId="167" fontId="34" fillId="6" borderId="50" xfId="3" applyNumberFormat="1" applyFont="1" applyFill="1" applyBorder="1" applyAlignment="1">
      <alignment shrinkToFit="1"/>
    </xf>
    <xf numFmtId="0" fontId="13" fillId="6" borderId="39" xfId="3" applyFont="1" applyFill="1" applyBorder="1" applyAlignment="1">
      <alignment horizontal="center"/>
    </xf>
    <xf numFmtId="0" fontId="13" fillId="6" borderId="33" xfId="3" applyFont="1" applyFill="1" applyBorder="1" applyAlignment="1">
      <alignment horizontal="center"/>
    </xf>
    <xf numFmtId="0" fontId="34" fillId="6" borderId="33" xfId="3" applyFont="1" applyFill="1" applyBorder="1" applyAlignment="1">
      <alignment horizontal="center"/>
    </xf>
    <xf numFmtId="0" fontId="13" fillId="6" borderId="55" xfId="3" applyFont="1" applyFill="1" applyBorder="1" applyAlignment="1">
      <alignment horizontal="center"/>
    </xf>
    <xf numFmtId="0" fontId="13" fillId="6" borderId="1" xfId="3" applyFont="1" applyFill="1" applyBorder="1"/>
    <xf numFmtId="167" fontId="13" fillId="6" borderId="1" xfId="3" applyNumberFormat="1" applyFont="1" applyFill="1" applyBorder="1" applyAlignment="1">
      <alignment shrinkToFit="1"/>
    </xf>
    <xf numFmtId="0" fontId="12" fillId="0" borderId="58" xfId="3" applyFont="1" applyBorder="1" applyAlignment="1" applyProtection="1">
      <alignment shrinkToFit="1"/>
      <protection locked="0"/>
    </xf>
    <xf numFmtId="164" fontId="17" fillId="0" borderId="58" xfId="1" applyNumberFormat="1" applyFont="1" applyBorder="1" applyAlignment="1" applyProtection="1">
      <alignment shrinkToFit="1"/>
      <protection locked="0"/>
    </xf>
    <xf numFmtId="0" fontId="17" fillId="5" borderId="0" xfId="3" applyFont="1" applyFill="1"/>
    <xf numFmtId="3" fontId="17" fillId="5" borderId="0" xfId="3" applyNumberFormat="1" applyFont="1" applyFill="1"/>
    <xf numFmtId="0" fontId="16" fillId="5" borderId="0" xfId="3" applyFont="1" applyFill="1"/>
    <xf numFmtId="0" fontId="17" fillId="5" borderId="33" xfId="3" applyFont="1" applyFill="1" applyBorder="1"/>
    <xf numFmtId="3" fontId="17" fillId="5" borderId="33" xfId="3" applyNumberFormat="1" applyFont="1" applyFill="1" applyBorder="1"/>
    <xf numFmtId="3" fontId="14" fillId="5" borderId="33" xfId="3" applyNumberFormat="1" applyFont="1" applyFill="1" applyBorder="1"/>
    <xf numFmtId="0" fontId="13" fillId="6" borderId="59" xfId="3" applyFont="1" applyFill="1" applyBorder="1" applyAlignment="1" applyProtection="1">
      <alignment horizontal="center" shrinkToFit="1"/>
      <protection locked="0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26" xfId="0" applyBorder="1" applyProtection="1">
      <protection locked="0"/>
    </xf>
    <xf numFmtId="0" fontId="5" fillId="0" borderId="27" xfId="2" applyBorder="1" applyProtection="1"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1" xfId="0" applyBorder="1" applyAlignment="1" applyProtection="1">
      <alignment horizontal="center"/>
      <protection locked="0"/>
    </xf>
    <xf numFmtId="14" fontId="0" fillId="0" borderId="27" xfId="0" applyNumberFormat="1" applyBorder="1" applyProtection="1">
      <protection locked="0"/>
    </xf>
    <xf numFmtId="14" fontId="0" fillId="0" borderId="29" xfId="0" applyNumberFormat="1" applyBorder="1" applyProtection="1">
      <protection locked="0"/>
    </xf>
    <xf numFmtId="0" fontId="35" fillId="0" borderId="0" xfId="0" applyFont="1"/>
    <xf numFmtId="0" fontId="4" fillId="5" borderId="17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4" fillId="5" borderId="18" xfId="0" applyFont="1" applyFill="1" applyBorder="1" applyAlignment="1">
      <alignment horizontal="left"/>
    </xf>
    <xf numFmtId="0" fontId="2" fillId="2" borderId="21" xfId="0" applyFont="1" applyFill="1" applyBorder="1" applyAlignment="1">
      <alignment horizontal="center" wrapText="1"/>
    </xf>
    <xf numFmtId="0" fontId="2" fillId="2" borderId="22" xfId="0" applyFont="1" applyFill="1" applyBorder="1" applyAlignment="1">
      <alignment horizontal="center" wrapText="1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2" fillId="2" borderId="25" xfId="0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right" vertical="center" wrapText="1"/>
    </xf>
    <xf numFmtId="0" fontId="2" fillId="2" borderId="23" xfId="0" applyFont="1" applyFill="1" applyBorder="1" applyAlignment="1">
      <alignment horizontal="right" vertical="center" wrapText="1"/>
    </xf>
    <xf numFmtId="0" fontId="2" fillId="2" borderId="15" xfId="0" applyFont="1" applyFill="1" applyBorder="1" applyAlignment="1">
      <alignment horizontal="right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166" fontId="18" fillId="0" borderId="0" xfId="3" applyNumberFormat="1" applyFont="1"/>
    <xf numFmtId="0" fontId="9" fillId="0" borderId="0" xfId="3"/>
    <xf numFmtId="167" fontId="10" fillId="6" borderId="0" xfId="3" applyNumberFormat="1" applyFont="1" applyFill="1" applyAlignment="1">
      <alignment horizontal="right"/>
    </xf>
    <xf numFmtId="0" fontId="24" fillId="11" borderId="0" xfId="3" applyFont="1" applyFill="1" applyAlignment="1">
      <alignment horizontal="center"/>
    </xf>
    <xf numFmtId="167" fontId="23" fillId="11" borderId="53" xfId="3" applyNumberFormat="1" applyFont="1" applyFill="1" applyBorder="1" applyAlignment="1">
      <alignment horizontal="center" vertical="center"/>
    </xf>
    <xf numFmtId="0" fontId="19" fillId="0" borderId="0" xfId="3" applyFont="1" applyAlignment="1">
      <alignment horizontal="center"/>
    </xf>
    <xf numFmtId="165" fontId="17" fillId="0" borderId="0" xfId="3" applyNumberFormat="1" applyFont="1" applyAlignment="1" applyProtection="1">
      <alignment horizontal="center" wrapText="1"/>
      <protection locked="0"/>
    </xf>
    <xf numFmtId="167" fontId="10" fillId="0" borderId="0" xfId="1" applyNumberFormat="1" applyFont="1" applyFill="1" applyBorder="1" applyAlignment="1">
      <alignment horizontal="right" shrinkToFit="1"/>
    </xf>
    <xf numFmtId="167" fontId="23" fillId="11" borderId="0" xfId="1" applyNumberFormat="1" applyFont="1" applyFill="1" applyBorder="1" applyAlignment="1">
      <alignment horizontal="center" vertical="center" shrinkToFit="1"/>
    </xf>
    <xf numFmtId="0" fontId="9" fillId="0" borderId="0" xfId="3" applyAlignment="1">
      <alignment horizontal="center"/>
    </xf>
    <xf numFmtId="0" fontId="29" fillId="13" borderId="17" xfId="0" applyFont="1" applyFill="1" applyBorder="1" applyAlignment="1">
      <alignment horizontal="center" wrapText="1"/>
    </xf>
    <xf numFmtId="0" fontId="29" fillId="13" borderId="9" xfId="0" applyFont="1" applyFill="1" applyBorder="1" applyAlignment="1">
      <alignment horizontal="center" wrapText="1"/>
    </xf>
    <xf numFmtId="0" fontId="6" fillId="0" borderId="8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27" fillId="12" borderId="17" xfId="0" applyFont="1" applyFill="1" applyBorder="1" applyAlignment="1">
      <alignment horizontal="center" wrapText="1"/>
    </xf>
    <xf numFmtId="0" fontId="27" fillId="12" borderId="9" xfId="0" applyFont="1" applyFill="1" applyBorder="1" applyAlignment="1">
      <alignment horizontal="center" wrapText="1"/>
    </xf>
  </cellXfs>
  <cellStyles count="5">
    <cellStyle name="Comma" xfId="1" builtinId="3"/>
    <cellStyle name="Comma 2" xfId="4" xr:uid="{19A6CD9A-DFF0-41AE-BEC5-41F5B70D6FA8}"/>
    <cellStyle name="Hyperlink" xfId="2" builtinId="8"/>
    <cellStyle name="Normal" xfId="0" builtinId="0"/>
    <cellStyle name="Normal 2" xfId="3" xr:uid="{E2D12799-AEA7-429F-975A-041B7B05C3BD}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3" tint="0.499984740745262"/>
      </font>
      <fill>
        <patternFill>
          <bgColor rgb="FFFFC000"/>
        </patternFill>
      </fill>
    </dxf>
    <dxf>
      <font>
        <color theme="3" tint="0.499984740745262"/>
      </font>
      <fill>
        <patternFill>
          <bgColor rgb="FFFFC000"/>
        </patternFill>
      </fill>
    </dxf>
    <dxf>
      <font>
        <color theme="3" tint="0.499984740745262"/>
      </font>
      <fill>
        <patternFill>
          <bgColor rgb="FFFFC000"/>
        </patternFill>
      </fill>
    </dxf>
    <dxf>
      <font>
        <color theme="3" tint="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ABAB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theme="5" tint="-0.24994659260841701"/>
      </font>
      <fill>
        <patternFill>
          <bgColor rgb="FFDEC8E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BAB"/>
      <color rgb="FFDEC8EE"/>
      <color rgb="FFDAC2EC"/>
      <color rgb="FFFFE181"/>
      <color rgb="FFFFEE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tx1">
                    <a:lumMod val="95000"/>
                    <a:lumOff val="5000"/>
                  </a:schemeClr>
                </a:solidFill>
              </a:rPr>
              <a:t>CURRENT WEEK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Production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Summary!$C$4:$I$4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Summary!$C$5:$I$5</c:f>
              <c:numCache>
                <c:formatCode>_(* #,##0_);_(* \(#,##0\);_(* "-"??_);_(@_)</c:formatCode>
                <c:ptCount val="7"/>
                <c:pt idx="0">
                  <c:v>6598100</c:v>
                </c:pt>
                <c:pt idx="1">
                  <c:v>0</c:v>
                </c:pt>
                <c:pt idx="2">
                  <c:v>6598100</c:v>
                </c:pt>
                <c:pt idx="3">
                  <c:v>6733800</c:v>
                </c:pt>
                <c:pt idx="4">
                  <c:v>5820200</c:v>
                </c:pt>
                <c:pt idx="5">
                  <c:v>6224100</c:v>
                </c:pt>
                <c:pt idx="6">
                  <c:v>6733800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F-484F-A9A7-7D110174530D}"/>
            </c:ext>
          </c:extLst>
        </c:ser>
        <c:ser>
          <c:idx val="1"/>
          <c:order val="1"/>
          <c:tx>
            <c:v>Daily Goal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Summary!$C$4:$I$4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Summary!$B$9:$H$9</c:f>
              <c:numCache>
                <c:formatCode>_(* #,##0.00_);_(* \(#,##0.00\);_(* "-"??_);_(@_)</c:formatCode>
                <c:ptCount val="7"/>
                <c:pt idx="0">
                  <c:v>3428571.4285714286</c:v>
                </c:pt>
                <c:pt idx="1">
                  <c:v>3428571.4285714286</c:v>
                </c:pt>
                <c:pt idx="2">
                  <c:v>3428571.4285714286</c:v>
                </c:pt>
                <c:pt idx="3">
                  <c:v>3428571.4285714286</c:v>
                </c:pt>
                <c:pt idx="4">
                  <c:v>3428571.4285714286</c:v>
                </c:pt>
                <c:pt idx="5">
                  <c:v>3428571.4285714286</c:v>
                </c:pt>
                <c:pt idx="6">
                  <c:v>3428571.4285714286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4F-484F-A9A7-7D1101745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15327"/>
        <c:axId val="187936175"/>
      </c:lineChart>
      <c:catAx>
        <c:axId val="769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36175"/>
        <c:crosses val="autoZero"/>
        <c:auto val="1"/>
        <c:lblAlgn val="ctr"/>
        <c:lblOffset val="100"/>
        <c:noMultiLvlLbl val="0"/>
      </c:catAx>
      <c:valAx>
        <c:axId val="18793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1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95000"/>
                    <a:lumOff val="5000"/>
                  </a:schemeClr>
                </a:solidFill>
              </a:rPr>
              <a:t>YTD WEEKLY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Summary!$A$27</c:f>
              <c:strCache>
                <c:ptCount val="1"/>
                <c:pt idx="0">
                  <c:v>WEEK NUMBER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Summary!$A$28:$A$79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F-4341-832D-DA8E2F92B9CA}"/>
            </c:ext>
          </c:extLst>
        </c:ser>
        <c:ser>
          <c:idx val="1"/>
          <c:order val="1"/>
          <c:tx>
            <c:strRef>
              <c:f>Summary!$I$27</c:f>
              <c:strCache>
                <c:ptCount val="1"/>
                <c:pt idx="0">
                  <c:v>WEEKLY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022D79-FDEA-4600-B544-C3640A0C41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5F-4341-832D-DA8E2F92B9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3B4420-50E0-479B-9868-0983CD5E7D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5F-4341-832D-DA8E2F92B9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EDE7F9-42BC-4DB2-9732-B53CB5A542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5F-4341-832D-DA8E2F92B9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723735-6CC0-474F-A33B-2488CA2353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5F-4341-832D-DA8E2F92B9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7C4273-9A64-4BAA-93E1-EAD356C45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5F-4341-832D-DA8E2F92B9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18C555-A66C-406B-AE4F-3FD45B37FE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5F-4341-832D-DA8E2F92B9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54EA2C-623C-4CA1-9C61-A2FB56B012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5F-4341-832D-DA8E2F92B9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147107-DA9E-44C0-A21B-9C0C5B5A4D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5F-4341-832D-DA8E2F92B9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746C08-8BF3-4BD1-A609-3E9910134D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5F-4341-832D-DA8E2F92B9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3FCE48-390C-48C0-AC52-1D97EBC784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5F-4341-832D-DA8E2F92B9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748FF1-0616-40F5-8ADC-01C62B27CE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5F-4341-832D-DA8E2F92B9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149ADD-B42E-40D2-9319-F97038AD27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5F-4341-832D-DA8E2F92B9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01958B-A25E-4750-9371-5A3E4B5943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5F-4341-832D-DA8E2F92B9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71B096-A63D-488F-AED9-330D1F844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5F-4341-832D-DA8E2F92B9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0DDED3-4424-4A97-866F-13E2448B2A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5F-4341-832D-DA8E2F92B9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F5810E-D1EE-4442-9815-07178CEA5C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5F-4341-832D-DA8E2F92B9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ABFE5D-ECBC-4857-9618-2CA45B8D19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5F-4341-832D-DA8E2F92B9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4F704D-8C5C-4470-AB88-35E16F4738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5F-4341-832D-DA8E2F92B9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90D067-D6FE-4911-92CD-0F9F47C05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5F-4341-832D-DA8E2F92B9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452288-27F9-45C9-AAD1-8E97FEEC99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5F-4341-832D-DA8E2F92B9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4CD25A-53E6-464C-91BA-D5F545D4F0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5F-4341-832D-DA8E2F92B9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18BE41-669A-47F0-8821-848684D14F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5F-4341-832D-DA8E2F92B9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E8F68F-EB1A-4A0F-988A-4297FDF046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5F-4341-832D-DA8E2F92B9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BA4572-17CF-4D10-8094-5A48B78531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5F-4341-832D-DA8E2F92B9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B07894-7E61-41F2-8CFE-C371ABFD03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5F-4341-832D-DA8E2F92B9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F5AC90-1FB3-4040-8D1E-156CE83E02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5F-4341-832D-DA8E2F92B9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D23810-D98A-4B87-BFEB-6F3125AC69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5F-4341-832D-DA8E2F92B9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20083E-8987-4FB0-AC52-D9DDEC4A62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5F-4341-832D-DA8E2F92B9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A76BB4-C1C5-4B1C-A927-D5B1D1659E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5F-4341-832D-DA8E2F92B9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755DCA-ED7F-4248-93FA-833785A391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5F-4341-832D-DA8E2F92B9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AC3C6D-5D8B-4C85-8BFA-DE32F55B7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5F-4341-832D-DA8E2F92B9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D66863-69D2-4FAF-B4D6-BEA172AC12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5F-4341-832D-DA8E2F92B9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BE431E-ED37-439F-B01B-9736656A7B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5F-4341-832D-DA8E2F92B9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FBB8DF-FF40-4017-B766-EC7D7AFB3A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5F-4341-832D-DA8E2F92B9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A6CDE9-72D3-40B8-B088-F58E41BA36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5F-4341-832D-DA8E2F92B9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21ABCC-B24F-4B28-A8EF-49A63349E8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5F-4341-832D-DA8E2F92B9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A8604E-921D-4804-B5C0-A4C5FC8640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5F-4341-832D-DA8E2F92B9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92F86F-5542-440E-A61A-A06C5A998E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5F-4341-832D-DA8E2F92B9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65772B-F699-422E-92E0-C0A41BEEB3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5F-4341-832D-DA8E2F92B9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36C5B7-2912-4987-B3DE-B69DDCD39B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5F-4341-832D-DA8E2F92B9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B80A40-0EDE-4F5E-9755-F1571B6584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5F-4341-832D-DA8E2F92B9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399F01-2E81-43F9-BC71-75A48FEAC6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5F-4341-832D-DA8E2F92B9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A228D7-D37C-44CB-8275-C04E5C3DED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5F-4341-832D-DA8E2F92B9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871D7F-33F0-48E8-B6D7-EE6F4EA250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5F-4341-832D-DA8E2F92B9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AC8E35-1104-4999-997B-9E05077691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5F-4341-832D-DA8E2F92B9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1EA6E7-728A-4AF0-8BC1-7FA58421FF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5F-4341-832D-DA8E2F92B9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360DD1-5C4E-4CF2-98A3-DD223F6A9D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5F-4341-832D-DA8E2F92B9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491688-FC97-440C-995E-3D17E36510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5F-4341-832D-DA8E2F92B9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673F53-A879-4C0D-812D-7F790BDBD8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5F-4341-832D-DA8E2F92B9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593B5B-7D9C-4BEF-BE7E-B5733B1213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5F-4341-832D-DA8E2F92B9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2DDA7E-1DD2-4C69-991D-A8DBEC193B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5F-4341-832D-DA8E2F92B9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DF8BB2-624A-4AF0-8A81-417BF67A2A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5F-4341-832D-DA8E2F92B9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Summary!$I$28:$I$79</c:f>
              <c:numCache>
                <c:formatCode>#,##0.000,,"m"</c:formatCode>
                <c:ptCount val="52"/>
                <c:pt idx="0">
                  <c:v>26000000</c:v>
                </c:pt>
                <c:pt idx="1">
                  <c:v>26000000</c:v>
                </c:pt>
                <c:pt idx="2">
                  <c:v>26000000</c:v>
                </c:pt>
                <c:pt idx="3">
                  <c:v>29200000</c:v>
                </c:pt>
                <c:pt idx="4">
                  <c:v>26000000</c:v>
                </c:pt>
                <c:pt idx="5">
                  <c:v>26000000</c:v>
                </c:pt>
                <c:pt idx="6">
                  <c:v>26000000</c:v>
                </c:pt>
                <c:pt idx="7">
                  <c:v>26000000</c:v>
                </c:pt>
                <c:pt idx="8">
                  <c:v>21800000</c:v>
                </c:pt>
                <c:pt idx="9">
                  <c:v>26000000</c:v>
                </c:pt>
                <c:pt idx="10">
                  <c:v>26000000</c:v>
                </c:pt>
                <c:pt idx="11">
                  <c:v>24000000</c:v>
                </c:pt>
                <c:pt idx="12">
                  <c:v>26000000</c:v>
                </c:pt>
                <c:pt idx="13">
                  <c:v>25500000</c:v>
                </c:pt>
                <c:pt idx="14">
                  <c:v>26000000</c:v>
                </c:pt>
                <c:pt idx="15">
                  <c:v>26000000</c:v>
                </c:pt>
                <c:pt idx="16">
                  <c:v>26000000</c:v>
                </c:pt>
                <c:pt idx="17">
                  <c:v>26000000</c:v>
                </c:pt>
                <c:pt idx="18">
                  <c:v>26000000</c:v>
                </c:pt>
                <c:pt idx="19">
                  <c:v>26000000</c:v>
                </c:pt>
                <c:pt idx="20">
                  <c:v>26000000</c:v>
                </c:pt>
                <c:pt idx="21">
                  <c:v>24000000</c:v>
                </c:pt>
                <c:pt idx="22">
                  <c:v>24000000</c:v>
                </c:pt>
                <c:pt idx="23">
                  <c:v>24000000</c:v>
                </c:pt>
                <c:pt idx="24">
                  <c:v>26000000</c:v>
                </c:pt>
                <c:pt idx="25">
                  <c:v>24000000</c:v>
                </c:pt>
                <c:pt idx="26">
                  <c:v>0</c:v>
                </c:pt>
                <c:pt idx="27">
                  <c:v>18100000</c:v>
                </c:pt>
                <c:pt idx="28">
                  <c:v>36404300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Summary!$J$28:$J$79</c15:f>
                <c15:dlblRangeCache>
                  <c:ptCount val="52"/>
                  <c:pt idx="2">
                    <c:v>26000000</c:v>
                  </c:pt>
                  <c:pt idx="20">
                    <c:v>26000000</c:v>
                  </c:pt>
                  <c:pt idx="25">
                    <c:v>24000000</c:v>
                  </c:pt>
                  <c:pt idx="26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3D5F-4341-832D-DA8E2F92B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927711"/>
        <c:axId val="1927929151"/>
      </c:lineChart>
      <c:catAx>
        <c:axId val="1927927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929151"/>
        <c:crosses val="autoZero"/>
        <c:auto val="1"/>
        <c:lblAlgn val="ctr"/>
        <c:lblOffset val="100"/>
        <c:noMultiLvlLbl val="0"/>
      </c:catAx>
      <c:valAx>
        <c:axId val="19279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927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9801472"/>
        <c:axId val="809798592"/>
      </c:barChart>
      <c:catAx>
        <c:axId val="809801472"/>
        <c:scaling>
          <c:orientation val="minMax"/>
        </c:scaling>
        <c:delete val="0"/>
        <c:axPos val="b"/>
        <c:majorTickMark val="out"/>
        <c:minorTickMark val="none"/>
        <c:tickLblPos val="nextTo"/>
        <c:crossAx val="809798592"/>
        <c:crosses val="autoZero"/>
        <c:auto val="1"/>
        <c:lblAlgn val="ctr"/>
        <c:lblOffset val="100"/>
        <c:noMultiLvlLbl val="0"/>
      </c:catAx>
      <c:valAx>
        <c:axId val="8097985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98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'Analyze ProdData'!$B$2:$B$12</c:f>
              <c:numCache>
                <c:formatCode>General</c:formatCode>
                <c:ptCount val="11"/>
                <c:pt idx="0">
                  <c:v>26000000</c:v>
                </c:pt>
                <c:pt idx="1">
                  <c:v>26000000</c:v>
                </c:pt>
                <c:pt idx="2">
                  <c:v>26000000</c:v>
                </c:pt>
                <c:pt idx="3">
                  <c:v>29200000</c:v>
                </c:pt>
                <c:pt idx="4">
                  <c:v>26000000</c:v>
                </c:pt>
                <c:pt idx="5">
                  <c:v>26000000</c:v>
                </c:pt>
                <c:pt idx="6">
                  <c:v>26000000</c:v>
                </c:pt>
                <c:pt idx="7">
                  <c:v>26000000</c:v>
                </c:pt>
                <c:pt idx="8">
                  <c:v>21800000</c:v>
                </c:pt>
                <c:pt idx="9">
                  <c:v>26000000</c:v>
                </c:pt>
                <c:pt idx="10">
                  <c:v>26000000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9-4520-949E-3C10A4BB6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547552"/>
        <c:axId val="809562912"/>
      </c:lineChart>
      <c:catAx>
        <c:axId val="8095475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09562912"/>
        <c:crosses val="autoZero"/>
        <c:auto val="1"/>
        <c:lblAlgn val="ctr"/>
        <c:lblOffset val="100"/>
        <c:noMultiLvlLbl val="0"/>
      </c:catAx>
      <c:valAx>
        <c:axId val="809562912"/>
        <c:scaling>
          <c:orientation val="minMax"/>
        </c:scaling>
        <c:delete val="0"/>
        <c:axPos val="l"/>
        <c:majorGridlines>
          <c:spPr>
            <a:ln>
              <a:solidFill>
                <a:srgbClr val="CDCDCD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809547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Production By Machine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DAILY!$A$5</c:f>
              <c:strCache>
                <c:ptCount val="1"/>
                <c:pt idx="0">
                  <c:v>527 1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DAILY!$C$5:$I$5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9-4307-A324-6A2122F447F3}"/>
            </c:ext>
          </c:extLst>
        </c:ser>
        <c:ser>
          <c:idx val="1"/>
          <c:order val="1"/>
          <c:tx>
            <c:strRef>
              <c:f>DAILY!$A$6</c:f>
              <c:strCache>
                <c:ptCount val="1"/>
                <c:pt idx="0">
                  <c:v>527 2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DAILY!$C$6:$I$6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89-4307-A324-6A2122F447F3}"/>
            </c:ext>
          </c:extLst>
        </c:ser>
        <c:ser>
          <c:idx val="2"/>
          <c:order val="2"/>
          <c:tx>
            <c:strRef>
              <c:f>DAILY!$A$7</c:f>
              <c:strCache>
                <c:ptCount val="1"/>
                <c:pt idx="0">
                  <c:v>527 3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DAILY!$C$7:$I$7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89-4307-A324-6A2122F447F3}"/>
            </c:ext>
          </c:extLst>
        </c:ser>
        <c:ser>
          <c:idx val="3"/>
          <c:order val="3"/>
          <c:tx>
            <c:strRef>
              <c:f>DAILY!$A$8</c:f>
              <c:strCache>
                <c:ptCount val="1"/>
                <c:pt idx="0">
                  <c:v>527 4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DAILY!$C$8:$I$8</c:f>
              <c:numCache>
                <c:formatCode>#,##0</c:formatCode>
                <c:ptCount val="7"/>
                <c:pt idx="0">
                  <c:v>386400</c:v>
                </c:pt>
                <c:pt idx="1">
                  <c:v>0</c:v>
                </c:pt>
                <c:pt idx="2">
                  <c:v>386400</c:v>
                </c:pt>
                <c:pt idx="3">
                  <c:v>576300</c:v>
                </c:pt>
                <c:pt idx="4">
                  <c:v>611900</c:v>
                </c:pt>
                <c:pt idx="5">
                  <c:v>422800</c:v>
                </c:pt>
                <c:pt idx="6">
                  <c:v>576300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89-4307-A324-6A2122F447F3}"/>
            </c:ext>
          </c:extLst>
        </c:ser>
        <c:ser>
          <c:idx val="4"/>
          <c:order val="4"/>
          <c:tx>
            <c:strRef>
              <c:f>DAILY!$A$9</c:f>
              <c:strCache>
                <c:ptCount val="1"/>
                <c:pt idx="0">
                  <c:v>527 5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DAILY!$C$9:$I$9</c:f>
              <c:numCache>
                <c:formatCode>#,##0</c:formatCode>
                <c:ptCount val="7"/>
                <c:pt idx="0">
                  <c:v>394000</c:v>
                </c:pt>
                <c:pt idx="1">
                  <c:v>0</c:v>
                </c:pt>
                <c:pt idx="2">
                  <c:v>394000</c:v>
                </c:pt>
                <c:pt idx="3">
                  <c:v>640000</c:v>
                </c:pt>
                <c:pt idx="4">
                  <c:v>224000</c:v>
                </c:pt>
                <c:pt idx="5">
                  <c:v>552000</c:v>
                </c:pt>
                <c:pt idx="6">
                  <c:v>640000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89-4307-A324-6A2122F447F3}"/>
            </c:ext>
          </c:extLst>
        </c:ser>
        <c:ser>
          <c:idx val="5"/>
          <c:order val="5"/>
          <c:tx>
            <c:strRef>
              <c:f>DAILY!$A$10</c:f>
              <c:strCache>
                <c:ptCount val="1"/>
                <c:pt idx="0">
                  <c:v>527 6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DAILY!$C$10:$I$10</c:f>
              <c:numCache>
                <c:formatCode>#,##0</c:formatCode>
                <c:ptCount val="7"/>
                <c:pt idx="0">
                  <c:v>690000</c:v>
                </c:pt>
                <c:pt idx="1">
                  <c:v>0</c:v>
                </c:pt>
                <c:pt idx="2">
                  <c:v>690000</c:v>
                </c:pt>
                <c:pt idx="3">
                  <c:v>503700</c:v>
                </c:pt>
                <c:pt idx="4">
                  <c:v>520800</c:v>
                </c:pt>
                <c:pt idx="5">
                  <c:v>384100</c:v>
                </c:pt>
                <c:pt idx="6">
                  <c:v>503700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89-4307-A324-6A2122F447F3}"/>
            </c:ext>
          </c:extLst>
        </c:ser>
        <c:ser>
          <c:idx val="6"/>
          <c:order val="6"/>
          <c:tx>
            <c:strRef>
              <c:f>DAILY!$A$11</c:f>
              <c:strCache>
                <c:ptCount val="1"/>
                <c:pt idx="0">
                  <c:v>527 7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DAILY!$C$11:$I$11</c:f>
              <c:numCache>
                <c:formatCode>#,##0</c:formatCode>
                <c:ptCount val="7"/>
                <c:pt idx="0">
                  <c:v>355800</c:v>
                </c:pt>
                <c:pt idx="1">
                  <c:v>0</c:v>
                </c:pt>
                <c:pt idx="2">
                  <c:v>355800</c:v>
                </c:pt>
                <c:pt idx="3">
                  <c:v>453600</c:v>
                </c:pt>
                <c:pt idx="4">
                  <c:v>257400</c:v>
                </c:pt>
                <c:pt idx="5">
                  <c:v>321600</c:v>
                </c:pt>
                <c:pt idx="6">
                  <c:v>453600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C89-4307-A324-6A2122F447F3}"/>
            </c:ext>
          </c:extLst>
        </c:ser>
        <c:ser>
          <c:idx val="7"/>
          <c:order val="7"/>
          <c:tx>
            <c:strRef>
              <c:f>DAILY!$A$12</c:f>
              <c:strCache>
                <c:ptCount val="1"/>
                <c:pt idx="0">
                  <c:v>527 8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DAILY!$C$12:$I$12</c:f>
              <c:numCache>
                <c:formatCode>#,##0</c:formatCode>
                <c:ptCount val="7"/>
                <c:pt idx="0">
                  <c:v>654300</c:v>
                </c:pt>
                <c:pt idx="1">
                  <c:v>0</c:v>
                </c:pt>
                <c:pt idx="2">
                  <c:v>654300</c:v>
                </c:pt>
                <c:pt idx="3">
                  <c:v>642000</c:v>
                </c:pt>
                <c:pt idx="4">
                  <c:v>672000</c:v>
                </c:pt>
                <c:pt idx="5">
                  <c:v>712500</c:v>
                </c:pt>
                <c:pt idx="6">
                  <c:v>642000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C89-4307-A324-6A2122F447F3}"/>
            </c:ext>
          </c:extLst>
        </c:ser>
        <c:ser>
          <c:idx val="8"/>
          <c:order val="8"/>
          <c:tx>
            <c:strRef>
              <c:f>DAILY!$A$13</c:f>
              <c:strCache>
                <c:ptCount val="1"/>
                <c:pt idx="0">
                  <c:v>527 9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DAILY!$C$13:$I$13</c:f>
              <c:numCache>
                <c:formatCode>#,##0</c:formatCode>
                <c:ptCount val="7"/>
                <c:pt idx="0">
                  <c:v>486800</c:v>
                </c:pt>
                <c:pt idx="1">
                  <c:v>0</c:v>
                </c:pt>
                <c:pt idx="2">
                  <c:v>486800</c:v>
                </c:pt>
                <c:pt idx="3">
                  <c:v>458200</c:v>
                </c:pt>
                <c:pt idx="4">
                  <c:v>497700</c:v>
                </c:pt>
                <c:pt idx="5">
                  <c:v>380800</c:v>
                </c:pt>
                <c:pt idx="6">
                  <c:v>458200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C89-4307-A324-6A2122F447F3}"/>
            </c:ext>
          </c:extLst>
        </c:ser>
        <c:ser>
          <c:idx val="9"/>
          <c:order val="9"/>
          <c:tx>
            <c:strRef>
              <c:f>DAILY!$A$14</c:f>
              <c:strCache>
                <c:ptCount val="1"/>
                <c:pt idx="0">
                  <c:v>527 10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DAILY!$C$14:$I$14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C89-4307-A324-6A2122F447F3}"/>
            </c:ext>
          </c:extLst>
        </c:ser>
        <c:ser>
          <c:idx val="10"/>
          <c:order val="10"/>
          <c:tx>
            <c:strRef>
              <c:f>DAILY!$A$15</c:f>
              <c:strCache>
                <c:ptCount val="1"/>
                <c:pt idx="0">
                  <c:v>Cheetah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DAILY!$C$15:$I$15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C89-4307-A324-6A2122F447F3}"/>
            </c:ext>
          </c:extLst>
        </c:ser>
        <c:ser>
          <c:idx val="11"/>
          <c:order val="11"/>
          <c:tx>
            <c:strRef>
              <c:f>DAILY!$A$16</c:f>
              <c:strCache>
                <c:ptCount val="1"/>
                <c:pt idx="0">
                  <c:v>527 12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DAILY!$C$4:$I$4</c:f>
              <c:numCache>
                <c:formatCode>m/d/yyyy</c:formatCode>
                <c:ptCount val="7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</c:numCache>
            </c:numRef>
          </c:cat>
          <c:val>
            <c:numRef>
              <c:f>DAILY!$C$16:$I$16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C89-4307-A324-6A2122F447F3}"/>
            </c:ext>
          </c:extLst>
        </c:ser>
        <c:ser>
          <c:idx val="12"/>
          <c:order val="12"/>
          <c:tx>
            <c:strRef>
              <c:f>DAILY!$A$21</c:f>
              <c:strCache>
                <c:ptCount val="1"/>
                <c:pt idx="0">
                  <c:v>R-14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DAILY!$C$21:$I$21</c:f>
              <c:numCache>
                <c:formatCode>#,##0.000,,"m"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C89-4307-A324-6A2122F447F3}"/>
            </c:ext>
          </c:extLst>
        </c:ser>
        <c:ser>
          <c:idx val="13"/>
          <c:order val="13"/>
          <c:tx>
            <c:strRef>
              <c:f>DAILY!$A$25</c:f>
              <c:strCache>
                <c:ptCount val="1"/>
                <c:pt idx="0">
                  <c:v>102 1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DAILY!$C$25:$I$25</c:f>
              <c:numCache>
                <c:formatCode>#,##0</c:formatCode>
                <c:ptCount val="7"/>
                <c:pt idx="0">
                  <c:v>616000</c:v>
                </c:pt>
                <c:pt idx="1">
                  <c:v>0</c:v>
                </c:pt>
                <c:pt idx="2">
                  <c:v>616000</c:v>
                </c:pt>
                <c:pt idx="3">
                  <c:v>500400</c:v>
                </c:pt>
                <c:pt idx="4">
                  <c:v>734400</c:v>
                </c:pt>
                <c:pt idx="5">
                  <c:v>646800</c:v>
                </c:pt>
                <c:pt idx="6">
                  <c:v>500400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C89-4307-A324-6A2122F447F3}"/>
            </c:ext>
          </c:extLst>
        </c:ser>
        <c:ser>
          <c:idx val="14"/>
          <c:order val="14"/>
          <c:tx>
            <c:strRef>
              <c:f>DAILY!$A$27</c:f>
              <c:strCache>
                <c:ptCount val="1"/>
                <c:pt idx="0">
                  <c:v>102 3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DAILY!$C$27:$I$27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C89-4307-A324-6A2122F447F3}"/>
            </c:ext>
          </c:extLst>
        </c:ser>
        <c:ser>
          <c:idx val="15"/>
          <c:order val="15"/>
          <c:tx>
            <c:strRef>
              <c:f>DAILY!$A$28</c:f>
              <c:strCache>
                <c:ptCount val="1"/>
                <c:pt idx="0">
                  <c:v>102 4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DAILY!$C$28:$I$28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C89-4307-A324-6A2122F447F3}"/>
            </c:ext>
          </c:extLst>
        </c:ser>
        <c:ser>
          <c:idx val="16"/>
          <c:order val="16"/>
          <c:tx>
            <c:strRef>
              <c:f>DAILY!$A$26</c:f>
              <c:strCache>
                <c:ptCount val="1"/>
                <c:pt idx="0">
                  <c:v>102 2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DAILY!$C$26:$I$26</c:f>
              <c:numCache>
                <c:formatCode>#,##0</c:formatCode>
                <c:ptCount val="7"/>
                <c:pt idx="0">
                  <c:v>1030000</c:v>
                </c:pt>
                <c:pt idx="1">
                  <c:v>0</c:v>
                </c:pt>
                <c:pt idx="2">
                  <c:v>1030000</c:v>
                </c:pt>
                <c:pt idx="3">
                  <c:v>970000</c:v>
                </c:pt>
                <c:pt idx="4">
                  <c:v>466000</c:v>
                </c:pt>
                <c:pt idx="5">
                  <c:v>787500</c:v>
                </c:pt>
                <c:pt idx="6">
                  <c:v>970000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C89-4307-A324-6A2122F447F3}"/>
            </c:ext>
          </c:extLst>
        </c:ser>
        <c:ser>
          <c:idx val="17"/>
          <c:order val="17"/>
          <c:tx>
            <c:strRef>
              <c:f>DAILY!$A$29</c:f>
              <c:strCache>
                <c:ptCount val="1"/>
                <c:pt idx="0">
                  <c:v>102 5</c:v>
                </c:pt>
              </c:strCache>
            </c:strRef>
          </c:tx>
          <c:spPr>
            <a:ln w="28575" cap="rnd" cmpd="sng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DAILY!$C$29:$I$29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C89-4307-A324-6A2122F447F3}"/>
            </c:ext>
          </c:extLst>
        </c:ser>
        <c:ser>
          <c:idx val="18"/>
          <c:order val="18"/>
          <c:tx>
            <c:strRef>
              <c:f>DAILY!$A$34</c:f>
              <c:strCache>
                <c:ptCount val="1"/>
                <c:pt idx="0">
                  <c:v>628 1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DAILY!$C$34:$I$34</c:f>
              <c:numCache>
                <c:formatCode>#,##0</c:formatCode>
                <c:ptCount val="7"/>
                <c:pt idx="0">
                  <c:v>1195200</c:v>
                </c:pt>
                <c:pt idx="1">
                  <c:v>0</c:v>
                </c:pt>
                <c:pt idx="2">
                  <c:v>1195200</c:v>
                </c:pt>
                <c:pt idx="3">
                  <c:v>1065600</c:v>
                </c:pt>
                <c:pt idx="4">
                  <c:v>1082400</c:v>
                </c:pt>
                <c:pt idx="5">
                  <c:v>1144800</c:v>
                </c:pt>
                <c:pt idx="6">
                  <c:v>1065600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C89-4307-A324-6A2122F447F3}"/>
            </c:ext>
          </c:extLst>
        </c:ser>
        <c:ser>
          <c:idx val="19"/>
          <c:order val="19"/>
          <c:tx>
            <c:strRef>
              <c:f>DAILY!$A$35</c:f>
              <c:strCache>
                <c:ptCount val="1"/>
                <c:pt idx="0">
                  <c:v>628 2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DAILY!$C$35:$I$35</c:f>
              <c:numCache>
                <c:formatCode>#,##0</c:formatCode>
                <c:ptCount val="7"/>
                <c:pt idx="0">
                  <c:v>789600</c:v>
                </c:pt>
                <c:pt idx="1">
                  <c:v>0</c:v>
                </c:pt>
                <c:pt idx="2">
                  <c:v>789600</c:v>
                </c:pt>
                <c:pt idx="3">
                  <c:v>924000</c:v>
                </c:pt>
                <c:pt idx="4">
                  <c:v>753600</c:v>
                </c:pt>
                <c:pt idx="5">
                  <c:v>871200</c:v>
                </c:pt>
                <c:pt idx="6">
                  <c:v>924000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C89-4307-A324-6A2122F447F3}"/>
            </c:ext>
          </c:extLst>
        </c:ser>
        <c:ser>
          <c:idx val="20"/>
          <c:order val="20"/>
          <c:tx>
            <c:strRef>
              <c:f>DAILY!$A$36</c:f>
              <c:strCache>
                <c:ptCount val="1"/>
                <c:pt idx="0">
                  <c:v>628 3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DAILY!$C$36:$I$36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C89-4307-A324-6A2122F447F3}"/>
            </c:ext>
          </c:extLst>
        </c:ser>
        <c:ser>
          <c:idx val="21"/>
          <c:order val="21"/>
          <c:tx>
            <c:strRef>
              <c:f>DAILY!$A$37</c:f>
              <c:strCache>
                <c:ptCount val="1"/>
                <c:pt idx="0">
                  <c:v>628 4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DAILY!$C$37:$I$37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C89-4307-A324-6A2122F447F3}"/>
            </c:ext>
          </c:extLst>
        </c:ser>
        <c:ser>
          <c:idx val="22"/>
          <c:order val="22"/>
          <c:tx>
            <c:strRef>
              <c:f>DAILY!$A$38</c:f>
              <c:strCache>
                <c:ptCount val="1"/>
                <c:pt idx="0">
                  <c:v>628 5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DAILY!$C$38:$I$38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C89-4307-A324-6A2122F447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22204783"/>
        <c:axId val="622205263"/>
      </c:lineChart>
      <c:dateAx>
        <c:axId val="62220478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205263"/>
        <c:crosses val="autoZero"/>
        <c:auto val="1"/>
        <c:lblOffset val="100"/>
        <c:baseTimeUnit val="days"/>
      </c:dateAx>
      <c:valAx>
        <c:axId val="62220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204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PRODUCTION BY MACHINE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(SUN!$A$5:$A$16,SUN!$A$19,SUN!$A$21:$A$25,SUN!$A$28:$A$32)</c:f>
              <c:strCache>
                <c:ptCount val="23"/>
                <c:pt idx="0">
                  <c:v>527 1</c:v>
                </c:pt>
                <c:pt idx="1">
                  <c:v>527 2</c:v>
                </c:pt>
                <c:pt idx="2">
                  <c:v>527 3</c:v>
                </c:pt>
                <c:pt idx="3">
                  <c:v>527 4</c:v>
                </c:pt>
                <c:pt idx="4">
                  <c:v>527 5</c:v>
                </c:pt>
                <c:pt idx="5">
                  <c:v>527 6</c:v>
                </c:pt>
                <c:pt idx="6">
                  <c:v>527 7</c:v>
                </c:pt>
                <c:pt idx="7">
                  <c:v>527 8</c:v>
                </c:pt>
                <c:pt idx="8">
                  <c:v>527 9</c:v>
                </c:pt>
                <c:pt idx="9">
                  <c:v>527 10</c:v>
                </c:pt>
                <c:pt idx="10">
                  <c:v>Cheetah</c:v>
                </c:pt>
                <c:pt idx="11">
                  <c:v>527 12</c:v>
                </c:pt>
                <c:pt idx="12">
                  <c:v>R-14</c:v>
                </c:pt>
                <c:pt idx="13">
                  <c:v>102 1</c:v>
                </c:pt>
                <c:pt idx="14">
                  <c:v>102 2</c:v>
                </c:pt>
                <c:pt idx="15">
                  <c:v>102 3</c:v>
                </c:pt>
                <c:pt idx="16">
                  <c:v>102 4</c:v>
                </c:pt>
                <c:pt idx="17">
                  <c:v>102 5</c:v>
                </c:pt>
                <c:pt idx="18">
                  <c:v>628 1</c:v>
                </c:pt>
                <c:pt idx="19">
                  <c:v>628 2</c:v>
                </c:pt>
                <c:pt idx="20">
                  <c:v>628 3</c:v>
                </c:pt>
                <c:pt idx="21">
                  <c:v>628 4</c:v>
                </c:pt>
                <c:pt idx="22">
                  <c:v>628 5</c:v>
                </c:pt>
              </c:strCache>
            </c:strRef>
          </c:cat>
          <c:val>
            <c:numRef>
              <c:f>(SUN!$I$5:$I$16,SUN!$I$19,SUN!$I$21:$I$25,SUN!$I$28:$I$32)</c:f>
              <c:numCache>
                <c:formatCode>#,##0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386400</c:v>
                </c:pt>
                <c:pt idx="4">
                  <c:v>394000</c:v>
                </c:pt>
                <c:pt idx="5">
                  <c:v>690000</c:v>
                </c:pt>
                <c:pt idx="6">
                  <c:v>355800</c:v>
                </c:pt>
                <c:pt idx="7">
                  <c:v>654300</c:v>
                </c:pt>
                <c:pt idx="8">
                  <c:v>486800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#,##0.000,,&quot;m&quot;">
                  <c:v>0</c:v>
                </c:pt>
                <c:pt idx="13">
                  <c:v>616000</c:v>
                </c:pt>
                <c:pt idx="14">
                  <c:v>1030000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1195200</c:v>
                </c:pt>
                <c:pt idx="19">
                  <c:v>789600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8A-4CE0-96AE-0C85D8057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1058463"/>
        <c:axId val="1561062783"/>
      </c:barChart>
      <c:catAx>
        <c:axId val="1561058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2783"/>
        <c:crosses val="autoZero"/>
        <c:auto val="1"/>
        <c:lblAlgn val="ctr"/>
        <c:lblOffset val="100"/>
        <c:noMultiLvlLbl val="0"/>
      </c:catAx>
      <c:valAx>
        <c:axId val="156106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5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tx1">
                    <a:lumMod val="95000"/>
                    <a:lumOff val="5000"/>
                  </a:schemeClr>
                </a:solidFill>
              </a:rPr>
              <a:t>CURRENT WEEK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Production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Summary!$C$4:$I$4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Summary!$C$5:$I$5</c:f>
              <c:numCache>
                <c:formatCode>_(* #,##0_);_(* \(#,##0\);_(* "-"??_);_(@_)</c:formatCode>
                <c:ptCount val="7"/>
                <c:pt idx="0">
                  <c:v>6598100</c:v>
                </c:pt>
                <c:pt idx="1">
                  <c:v>0</c:v>
                </c:pt>
                <c:pt idx="2">
                  <c:v>6598100</c:v>
                </c:pt>
                <c:pt idx="3">
                  <c:v>6733800</c:v>
                </c:pt>
                <c:pt idx="4">
                  <c:v>5820200</c:v>
                </c:pt>
                <c:pt idx="5">
                  <c:v>6224100</c:v>
                </c:pt>
                <c:pt idx="6">
                  <c:v>6733800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E-45FF-999F-E3BD342DAD7A}"/>
            </c:ext>
          </c:extLst>
        </c:ser>
        <c:ser>
          <c:idx val="1"/>
          <c:order val="1"/>
          <c:tx>
            <c:v>Daily Goal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elete val="1"/>
          </c:dLbls>
          <c:cat>
            <c:strRef>
              <c:f>Summary!$C$4:$I$4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Summary!$B$9:$H$9</c:f>
              <c:numCache>
                <c:formatCode>_(* #,##0.00_);_(* \(#,##0.00\);_(* "-"??_);_(@_)</c:formatCode>
                <c:ptCount val="7"/>
                <c:pt idx="0">
                  <c:v>3428571.4285714286</c:v>
                </c:pt>
                <c:pt idx="1">
                  <c:v>3428571.4285714286</c:v>
                </c:pt>
                <c:pt idx="2">
                  <c:v>3428571.4285714286</c:v>
                </c:pt>
                <c:pt idx="3">
                  <c:v>3428571.4285714286</c:v>
                </c:pt>
                <c:pt idx="4">
                  <c:v>3428571.4285714286</c:v>
                </c:pt>
                <c:pt idx="5">
                  <c:v>3428571.4285714286</c:v>
                </c:pt>
                <c:pt idx="6">
                  <c:v>3428571.4285714286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2E-45FF-999F-E3BD342DAD7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915327"/>
        <c:axId val="187936175"/>
      </c:lineChart>
      <c:catAx>
        <c:axId val="769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36175"/>
        <c:crosses val="autoZero"/>
        <c:auto val="1"/>
        <c:lblAlgn val="ctr"/>
        <c:lblOffset val="100"/>
        <c:noMultiLvlLbl val="0"/>
      </c:catAx>
      <c:valAx>
        <c:axId val="18793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1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% OF PRODUCTION BY SHIFT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4A-4A9E-A4EE-8522F53230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4A-4A9E-A4EE-8522F53230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64A-4A9E-A4EE-8522F53230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64A-4A9E-A4EE-8522F53230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64A-4A9E-A4EE-8522F53230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64A-4A9E-A4EE-8522F53230A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64A-4A9E-A4EE-8522F53230AB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SUN!$B$4:$H$4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1ST</c:v>
                </c:pt>
                <c:pt idx="5">
                  <c:v>2ND</c:v>
                </c:pt>
                <c:pt idx="6">
                  <c:v>3RD</c:v>
                </c:pt>
              </c:strCache>
            </c:strRef>
          </c:cat>
          <c:val>
            <c:numRef>
              <c:f>SUN!$B$35:$H$35</c:f>
              <c:numCache>
                <c:formatCode>#,##0.000,,"m"</c:formatCode>
                <c:ptCount val="7"/>
                <c:pt idx="0">
                  <c:v>0</c:v>
                </c:pt>
                <c:pt idx="1">
                  <c:v>2152600</c:v>
                </c:pt>
                <c:pt idx="2">
                  <c:v>0</c:v>
                </c:pt>
                <c:pt idx="3">
                  <c:v>2302000</c:v>
                </c:pt>
                <c:pt idx="4">
                  <c:v>451700</c:v>
                </c:pt>
                <c:pt idx="5">
                  <c:v>746800</c:v>
                </c:pt>
                <c:pt idx="6">
                  <c:v>945000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B-4E95-A4C5-1E458A6AE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%</a:t>
            </a:r>
            <a:r>
              <a:rPr lang="en-US" b="1" baseline="0">
                <a:solidFill>
                  <a:schemeClr val="tx1"/>
                </a:solidFill>
              </a:rPr>
              <a:t> OF PRODUCTION BY SHIFT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6B-4060-8BA4-644F033B45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6B-4060-8BA4-644F033B45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96B-4060-8BA4-644F033B45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6B-4060-8BA4-644F033B45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6B-4060-8BA4-644F033B45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96B-4060-8BA4-644F033B45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96B-4060-8BA4-644F033B459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MON!$B$4:$H$4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1ST</c:v>
                </c:pt>
                <c:pt idx="5">
                  <c:v>2ND</c:v>
                </c:pt>
                <c:pt idx="6">
                  <c:v>3RD</c:v>
                </c:pt>
              </c:strCache>
            </c:strRef>
          </c:cat>
          <c:val>
            <c:numRef>
              <c:f>MON!$B$35:$H$35</c:f>
              <c:numCache>
                <c:formatCode>#,##0.000,,"m"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9-49B3-8898-B0352A55A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PRODUCTION BY MACHINE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MON!$A$5:$A$35</c15:sqref>
                  </c15:fullRef>
                </c:ext>
              </c:extLst>
              <c:f>(MON!$A$5:$A$16,MON!$A$19,MON!$A$21:$A$25,MON!$A$28:$A$32)</c:f>
              <c:strCache>
                <c:ptCount val="23"/>
                <c:pt idx="0">
                  <c:v>527 1</c:v>
                </c:pt>
                <c:pt idx="1">
                  <c:v>527 2</c:v>
                </c:pt>
                <c:pt idx="2">
                  <c:v>527 3</c:v>
                </c:pt>
                <c:pt idx="3">
                  <c:v>527 4</c:v>
                </c:pt>
                <c:pt idx="4">
                  <c:v>527 5</c:v>
                </c:pt>
                <c:pt idx="5">
                  <c:v>527 6</c:v>
                </c:pt>
                <c:pt idx="6">
                  <c:v>527 7</c:v>
                </c:pt>
                <c:pt idx="7">
                  <c:v>527 8</c:v>
                </c:pt>
                <c:pt idx="8">
                  <c:v>527 9</c:v>
                </c:pt>
                <c:pt idx="9">
                  <c:v>527 10</c:v>
                </c:pt>
                <c:pt idx="10">
                  <c:v>Cheetah</c:v>
                </c:pt>
                <c:pt idx="11">
                  <c:v>527 12</c:v>
                </c:pt>
                <c:pt idx="12">
                  <c:v>R-14</c:v>
                </c:pt>
                <c:pt idx="13">
                  <c:v>102 1</c:v>
                </c:pt>
                <c:pt idx="14">
                  <c:v>102 2</c:v>
                </c:pt>
                <c:pt idx="15">
                  <c:v>102 3</c:v>
                </c:pt>
                <c:pt idx="16">
                  <c:v>102 4</c:v>
                </c:pt>
                <c:pt idx="17">
                  <c:v>102 5</c:v>
                </c:pt>
                <c:pt idx="18">
                  <c:v>628 1</c:v>
                </c:pt>
                <c:pt idx="19">
                  <c:v>628 2</c:v>
                </c:pt>
                <c:pt idx="20">
                  <c:v>628 3</c:v>
                </c:pt>
                <c:pt idx="21">
                  <c:v>628 4</c:v>
                </c:pt>
                <c:pt idx="22">
                  <c:v>628 5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MON!$I$5:$I$35</c15:sqref>
                  </c15:fullRef>
                </c:ext>
              </c:extLst>
              <c:f>(MON!$I$5:$I$16,MON!$I$19,MON!$I$21:$I$25,MON!$I$28:$I$32)</c:f>
              <c:numCache>
                <c:formatCode>#,##0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#,##0.000,,&quot;m&quot;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18-463E-AAA1-2BD99F89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428160"/>
        <c:axId val="996141856"/>
      </c:barChart>
      <c:catAx>
        <c:axId val="5042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6141856"/>
        <c:crosses val="autoZero"/>
        <c:auto val="1"/>
        <c:lblAlgn val="ctr"/>
        <c:lblOffset val="100"/>
        <c:noMultiLvlLbl val="0"/>
      </c:catAx>
      <c:valAx>
        <c:axId val="99614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tx1"/>
                </a:solidFill>
              </a:rPr>
              <a:t>CURRENT WEEK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Production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Summary!$C$4:$I$4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Summary!$C$5:$I$5</c:f>
              <c:numCache>
                <c:formatCode>_(* #,##0_);_(* \(#,##0\);_(* "-"??_);_(@_)</c:formatCode>
                <c:ptCount val="7"/>
                <c:pt idx="0">
                  <c:v>6598100</c:v>
                </c:pt>
                <c:pt idx="1">
                  <c:v>0</c:v>
                </c:pt>
                <c:pt idx="2">
                  <c:v>6598100</c:v>
                </c:pt>
                <c:pt idx="3">
                  <c:v>6733800</c:v>
                </c:pt>
                <c:pt idx="4">
                  <c:v>5820200</c:v>
                </c:pt>
                <c:pt idx="5">
                  <c:v>6224100</c:v>
                </c:pt>
                <c:pt idx="6">
                  <c:v>6733800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2-45AA-93EE-8887FAB33232}"/>
            </c:ext>
          </c:extLst>
        </c:ser>
        <c:ser>
          <c:idx val="1"/>
          <c:order val="1"/>
          <c:tx>
            <c:v>Daily Goal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elete val="1"/>
          </c:dLbls>
          <c:cat>
            <c:strRef>
              <c:f>Summary!$C$4:$I$4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Summary!$B$9:$H$9</c:f>
              <c:numCache>
                <c:formatCode>_(* #,##0.00_);_(* \(#,##0.00\);_(* "-"??_);_(@_)</c:formatCode>
                <c:ptCount val="7"/>
                <c:pt idx="0">
                  <c:v>3428571.4285714286</c:v>
                </c:pt>
                <c:pt idx="1">
                  <c:v>3428571.4285714286</c:v>
                </c:pt>
                <c:pt idx="2">
                  <c:v>3428571.4285714286</c:v>
                </c:pt>
                <c:pt idx="3">
                  <c:v>3428571.4285714286</c:v>
                </c:pt>
                <c:pt idx="4">
                  <c:v>3428571.4285714286</c:v>
                </c:pt>
                <c:pt idx="5">
                  <c:v>3428571.4285714286</c:v>
                </c:pt>
                <c:pt idx="6">
                  <c:v>3428571.4285714286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2-45AA-93EE-8887FAB332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915327"/>
        <c:axId val="187936175"/>
      </c:lineChart>
      <c:catAx>
        <c:axId val="769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36175"/>
        <c:crosses val="autoZero"/>
        <c:auto val="1"/>
        <c:lblAlgn val="ctr"/>
        <c:lblOffset val="100"/>
        <c:noMultiLvlLbl val="0"/>
      </c:catAx>
      <c:valAx>
        <c:axId val="18793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1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checked="Checked" fmlaLink="Settings!$M$4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182882</xdr:colOff>
      <xdr:row>8</xdr:row>
      <xdr:rowOff>35242</xdr:rowOff>
    </xdr:from>
    <xdr:to>
      <xdr:col>10</xdr:col>
      <xdr:colOff>83820</xdr:colOff>
      <xdr:row>12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3ECCF5-C7F3-5C01-B051-C546A95E42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</xdr:colOff>
      <xdr:row>1</xdr:row>
      <xdr:rowOff>101600</xdr:rowOff>
    </xdr:from>
    <xdr:to>
      <xdr:col>14</xdr:col>
      <xdr:colOff>430530</xdr:colOff>
      <xdr:row>4</xdr:row>
      <xdr:rowOff>76199</xdr:rowOff>
    </xdr:to>
    <xdr:sp macro="[0]!ProcessWeekly" textlink="">
      <xdr:nvSpPr>
        <xdr:cNvPr id="5" name="Rectangle 4">
          <a:extLst>
            <a:ext uri="{FF2B5EF4-FFF2-40B4-BE49-F238E27FC236}">
              <a16:creationId xmlns:a16="http://schemas.microsoft.com/office/drawing/2014/main" id="{93AD3E56-3A10-337E-9108-0BEFCD274585}"/>
            </a:ext>
          </a:extLst>
        </xdr:cNvPr>
        <xdr:cNvSpPr/>
      </xdr:nvSpPr>
      <xdr:spPr>
        <a:xfrm>
          <a:off x="10168890" y="546100"/>
          <a:ext cx="1399540" cy="419099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PROCESS</a:t>
          </a:r>
        </a:p>
      </xdr:txBody>
    </xdr:sp>
    <xdr:clientData/>
  </xdr:twoCellAnchor>
  <xdr:twoCellAnchor>
    <xdr:from>
      <xdr:col>0</xdr:col>
      <xdr:colOff>0</xdr:colOff>
      <xdr:row>12</xdr:row>
      <xdr:rowOff>120015</xdr:rowOff>
    </xdr:from>
    <xdr:to>
      <xdr:col>10</xdr:col>
      <xdr:colOff>1062990</xdr:colOff>
      <xdr:row>20</xdr:row>
      <xdr:rowOff>184785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B6FFCF-A544-1B37-1916-C38F7BD5A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518159</xdr:colOff>
      <xdr:row>13</xdr:row>
      <xdr:rowOff>19051</xdr:rowOff>
    </xdr:from>
    <xdr:to>
      <xdr:col>23</xdr:col>
      <xdr:colOff>80010</xdr:colOff>
      <xdr:row>14</xdr:row>
      <xdr:rowOff>129540</xdr:rowOff>
    </xdr:to>
    <xdr:sp macro="[0]!CreateProductionChart" textlink="">
      <xdr:nvSpPr>
        <xdr:cNvPr id="23" name="Rectangle 22">
          <a:extLst>
            <a:ext uri="{FF2B5EF4-FFF2-40B4-BE49-F238E27FC236}">
              <a16:creationId xmlns:a16="http://schemas.microsoft.com/office/drawing/2014/main" id="{4520615E-9E7D-DF4E-3FE8-71D5AF222565}"/>
            </a:ext>
          </a:extLst>
        </xdr:cNvPr>
        <xdr:cNvSpPr/>
      </xdr:nvSpPr>
      <xdr:spPr>
        <a:xfrm>
          <a:off x="15643859" y="3851911"/>
          <a:ext cx="1390651" cy="293369"/>
        </a:xfrm>
        <a:prstGeom prst="rect">
          <a:avLst/>
        </a:prstGeom>
        <a:solidFill>
          <a:srgbClr val="EE0000"/>
        </a:solidFill>
        <a:ln>
          <a:noFill/>
        </a:ln>
        <a:scene3d>
          <a:camera prst="perspectiveLeft"/>
          <a:lightRig rig="threePt" dir="t"/>
        </a:scene3d>
        <a:sp3d prstMaterial="softEdge">
          <a:bevelT w="63500" h="1905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FETCH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25</xdr:col>
      <xdr:colOff>10160</xdr:colOff>
      <xdr:row>22</xdr:row>
      <xdr:rowOff>165100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9036A17-C7A6-2C0F-CFF8-5860B45F31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25</xdr:col>
      <xdr:colOff>10160</xdr:colOff>
      <xdr:row>22</xdr:row>
      <xdr:rowOff>165100</xdr:rowOff>
    </xdr:to>
    <xdr:graphicFrame macro="">
      <xdr:nvGraphicFramePr>
        <xdr:cNvPr id="17" name="ProductionChart">
          <a:extLst>
            <a:ext uri="{FF2B5EF4-FFF2-40B4-BE49-F238E27FC236}">
              <a16:creationId xmlns:a16="http://schemas.microsoft.com/office/drawing/2014/main" id="{AB4F54C1-5755-6C25-B45E-94A2A9B9DD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26445</xdr:colOff>
      <xdr:row>1</xdr:row>
      <xdr:rowOff>160020</xdr:rowOff>
    </xdr:from>
    <xdr:to>
      <xdr:col>26</xdr:col>
      <xdr:colOff>146461</xdr:colOff>
      <xdr:row>40</xdr:row>
      <xdr:rowOff>171674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FDB7D8-8D9D-C43E-D680-F4DE9DED5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342899</xdr:colOff>
      <xdr:row>4</xdr:row>
      <xdr:rowOff>3810</xdr:rowOff>
    </xdr:from>
    <xdr:to>
      <xdr:col>22</xdr:col>
      <xdr:colOff>1066798</xdr:colOff>
      <xdr:row>18</xdr:row>
      <xdr:rowOff>41910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C483DE-E53F-A893-9CC4-B103F557F8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60960</xdr:colOff>
      <xdr:row>20</xdr:row>
      <xdr:rowOff>26893</xdr:rowOff>
    </xdr:from>
    <xdr:to>
      <xdr:col>23</xdr:col>
      <xdr:colOff>3026</xdr:colOff>
      <xdr:row>34</xdr:row>
      <xdr:rowOff>213360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5A5C54B-8589-4A3F-B558-DDE62294D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707876</xdr:colOff>
      <xdr:row>39</xdr:row>
      <xdr:rowOff>65343</xdr:rowOff>
    </xdr:from>
    <xdr:to>
      <xdr:col>8</xdr:col>
      <xdr:colOff>1107926</xdr:colOff>
      <xdr:row>42</xdr:row>
      <xdr:rowOff>91440</xdr:rowOff>
    </xdr:to>
    <xdr:sp macro="[0]!SendDaily" textlink="">
      <xdr:nvSpPr>
        <xdr:cNvPr id="8" name="Rectangle 7">
          <a:extLst>
            <a:ext uri="{FF2B5EF4-FFF2-40B4-BE49-F238E27FC236}">
              <a16:creationId xmlns:a16="http://schemas.microsoft.com/office/drawing/2014/main" id="{4B632683-8B01-4A84-A094-2D56C8EF9EA0}"/>
            </a:ext>
          </a:extLst>
        </xdr:cNvPr>
        <xdr:cNvSpPr/>
      </xdr:nvSpPr>
      <xdr:spPr>
        <a:xfrm>
          <a:off x="7817336" y="8233983"/>
          <a:ext cx="1428750" cy="52901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u="sng"/>
            <a:t>SEND</a:t>
          </a:r>
          <a:r>
            <a:rPr lang="en-US" sz="1800" u="sng" baseline="0"/>
            <a:t> DAILY </a:t>
          </a:r>
          <a:r>
            <a:rPr lang="en-US" sz="900" baseline="0"/>
            <a:t>TO EMAIL GROUP</a:t>
          </a:r>
          <a:endParaRPr lang="en-US" sz="1800"/>
        </a:p>
      </xdr:txBody>
    </xdr:sp>
    <xdr:clientData/>
  </xdr:twoCellAnchor>
  <xdr:twoCellAnchor>
    <xdr:from>
      <xdr:col>9</xdr:col>
      <xdr:colOff>72390</xdr:colOff>
      <xdr:row>4</xdr:row>
      <xdr:rowOff>5714</xdr:rowOff>
    </xdr:from>
    <xdr:to>
      <xdr:col>15</xdr:col>
      <xdr:colOff>68580</xdr:colOff>
      <xdr:row>18</xdr:row>
      <xdr:rowOff>43815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56EF0D6-3E5A-32B7-5BF2-6BC3244C0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197336</xdr:colOff>
      <xdr:row>39</xdr:row>
      <xdr:rowOff>65343</xdr:rowOff>
    </xdr:from>
    <xdr:to>
      <xdr:col>1</xdr:col>
      <xdr:colOff>83820</xdr:colOff>
      <xdr:row>42</xdr:row>
      <xdr:rowOff>91440</xdr:rowOff>
    </xdr:to>
    <xdr:sp macro="[0]!ClearDailyFields" textlink="">
      <xdr:nvSpPr>
        <xdr:cNvPr id="11" name="Rectangle 10">
          <a:extLst>
            <a:ext uri="{FF2B5EF4-FFF2-40B4-BE49-F238E27FC236}">
              <a16:creationId xmlns:a16="http://schemas.microsoft.com/office/drawing/2014/main" id="{1DD45B4C-CA46-43C8-90D4-734A7F3F82E4}"/>
            </a:ext>
          </a:extLst>
        </xdr:cNvPr>
        <xdr:cNvSpPr/>
      </xdr:nvSpPr>
      <xdr:spPr>
        <a:xfrm>
          <a:off x="197336" y="8233983"/>
          <a:ext cx="823744" cy="52901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800" b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endParaRPr lang="en-US" sz="1800">
            <a:effectLst/>
          </a:endParaRPr>
        </a:p>
        <a:p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en-US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FIELDS</a:t>
          </a:r>
          <a:endParaRPr lang="en-US" sz="9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99060</xdr:colOff>
      <xdr:row>3</xdr:row>
      <xdr:rowOff>224789</xdr:rowOff>
    </xdr:from>
    <xdr:to>
      <xdr:col>15</xdr:col>
      <xdr:colOff>99060</xdr:colOff>
      <xdr:row>18</xdr:row>
      <xdr:rowOff>54101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5E81FB-87CB-17DF-0630-C038F0680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384810</xdr:colOff>
      <xdr:row>4</xdr:row>
      <xdr:rowOff>1904</xdr:rowOff>
    </xdr:from>
    <xdr:to>
      <xdr:col>22</xdr:col>
      <xdr:colOff>1097280</xdr:colOff>
      <xdr:row>18</xdr:row>
      <xdr:rowOff>73151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1D3BFF-593A-0F92-E1FB-318AB0766C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108585</xdr:colOff>
      <xdr:row>20</xdr:row>
      <xdr:rowOff>0</xdr:rowOff>
    </xdr:from>
    <xdr:to>
      <xdr:col>22</xdr:col>
      <xdr:colOff>1112520</xdr:colOff>
      <xdr:row>34</xdr:row>
      <xdr:rowOff>224567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B544E32-3B4A-4C29-B53C-B024C9460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365760</xdr:colOff>
          <xdr:row>45</xdr:row>
          <xdr:rowOff>152400</xdr:rowOff>
        </xdr:from>
        <xdr:to>
          <xdr:col>24</xdr:col>
          <xdr:colOff>228600</xdr:colOff>
          <xdr:row>47</xdr:row>
          <xdr:rowOff>152400</xdr:rowOff>
        </xdr:to>
        <xdr:sp macro="" textlink="">
          <xdr:nvSpPr>
            <xdr:cNvPr id="4097" name="AttachWorkbook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WORKBOOK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167640</xdr:colOff>
      <xdr:row>40</xdr:row>
      <xdr:rowOff>15240</xdr:rowOff>
    </xdr:from>
    <xdr:to>
      <xdr:col>1</xdr:col>
      <xdr:colOff>54124</xdr:colOff>
      <xdr:row>43</xdr:row>
      <xdr:rowOff>41337</xdr:rowOff>
    </xdr:to>
    <xdr:sp macro="[0]!ClearDailyFields" textlink="">
      <xdr:nvSpPr>
        <xdr:cNvPr id="2" name="Rectangle 1">
          <a:extLst>
            <a:ext uri="{FF2B5EF4-FFF2-40B4-BE49-F238E27FC236}">
              <a16:creationId xmlns:a16="http://schemas.microsoft.com/office/drawing/2014/main" id="{CD3DBCD3-27E7-47EA-B438-5B09406CFF6E}"/>
            </a:ext>
          </a:extLst>
        </xdr:cNvPr>
        <xdr:cNvSpPr/>
      </xdr:nvSpPr>
      <xdr:spPr>
        <a:xfrm>
          <a:off x="167640" y="8275320"/>
          <a:ext cx="823744" cy="52901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800" b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endParaRPr lang="en-US" sz="1800">
            <a:effectLst/>
          </a:endParaRPr>
        </a:p>
        <a:p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en-US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FIELDS</a:t>
          </a:r>
          <a:endParaRPr lang="en-US" sz="900">
            <a:effectLst/>
          </a:endParaRPr>
        </a:p>
      </xdr:txBody>
    </xdr:sp>
    <xdr:clientData/>
  </xdr:twoCellAnchor>
  <xdr:twoCellAnchor>
    <xdr:from>
      <xdr:col>7</xdr:col>
      <xdr:colOff>674370</xdr:colOff>
      <xdr:row>40</xdr:row>
      <xdr:rowOff>0</xdr:rowOff>
    </xdr:from>
    <xdr:to>
      <xdr:col>8</xdr:col>
      <xdr:colOff>1093470</xdr:colOff>
      <xdr:row>43</xdr:row>
      <xdr:rowOff>35622</xdr:rowOff>
    </xdr:to>
    <xdr:sp macro="[0]!SendDaily" textlink="">
      <xdr:nvSpPr>
        <xdr:cNvPr id="3" name="Rectangle 2">
          <a:extLst>
            <a:ext uri="{FF2B5EF4-FFF2-40B4-BE49-F238E27FC236}">
              <a16:creationId xmlns:a16="http://schemas.microsoft.com/office/drawing/2014/main" id="{E0FE7C01-45CC-41AD-B149-1D0482CE8D6D}"/>
            </a:ext>
          </a:extLst>
        </xdr:cNvPr>
        <xdr:cNvSpPr/>
      </xdr:nvSpPr>
      <xdr:spPr>
        <a:xfrm>
          <a:off x="7722870" y="8305800"/>
          <a:ext cx="1438275" cy="549972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u="sng"/>
            <a:t>SEND</a:t>
          </a:r>
          <a:r>
            <a:rPr lang="en-US" sz="1800" u="sng" baseline="0"/>
            <a:t> DAILY </a:t>
          </a:r>
          <a:r>
            <a:rPr lang="en-US" sz="900" baseline="0"/>
            <a:t>TO EMAIL GROUP</a:t>
          </a:r>
          <a:endParaRPr lang="en-US" sz="1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200025</xdr:colOff>
      <xdr:row>0</xdr:row>
      <xdr:rowOff>28575</xdr:rowOff>
    </xdr:from>
    <xdr:ext cx="550436" cy="544830"/>
    <xdr:pic>
      <xdr:nvPicPr>
        <xdr:cNvPr id="2" name="Picture 1">
          <a:extLst>
            <a:ext uri="{FF2B5EF4-FFF2-40B4-BE49-F238E27FC236}">
              <a16:creationId xmlns:a16="http://schemas.microsoft.com/office/drawing/2014/main" id="{6D60AA52-7051-4BF8-8D35-6808D0823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07720" y="30480"/>
          <a:ext cx="55043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7</xdr:col>
      <xdr:colOff>611505</xdr:colOff>
      <xdr:row>39</xdr:row>
      <xdr:rowOff>142875</xdr:rowOff>
    </xdr:from>
    <xdr:to>
      <xdr:col>9</xdr:col>
      <xdr:colOff>1905</xdr:colOff>
      <xdr:row>43</xdr:row>
      <xdr:rowOff>1332</xdr:rowOff>
    </xdr:to>
    <xdr:sp macro="[0]!SendDaily" textlink="">
      <xdr:nvSpPr>
        <xdr:cNvPr id="5" name="Rectangle 4">
          <a:extLst>
            <a:ext uri="{FF2B5EF4-FFF2-40B4-BE49-F238E27FC236}">
              <a16:creationId xmlns:a16="http://schemas.microsoft.com/office/drawing/2014/main" id="{870B6198-6ABB-4B21-A528-B86575DA554A}"/>
            </a:ext>
          </a:extLst>
        </xdr:cNvPr>
        <xdr:cNvSpPr/>
      </xdr:nvSpPr>
      <xdr:spPr>
        <a:xfrm>
          <a:off x="7745730" y="8420100"/>
          <a:ext cx="1428750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u="sng"/>
            <a:t>SEND</a:t>
          </a:r>
          <a:r>
            <a:rPr lang="en-US" sz="1800" u="sng" baseline="0"/>
            <a:t> DAILY </a:t>
          </a:r>
          <a:r>
            <a:rPr lang="en-US" sz="900" baseline="0"/>
            <a:t>TO EMAIL GROUP</a:t>
          </a:r>
          <a:endParaRPr lang="en-US" sz="1800"/>
        </a:p>
      </xdr:txBody>
    </xdr:sp>
    <xdr:clientData/>
  </xdr:twoCellAnchor>
  <xdr:twoCellAnchor>
    <xdr:from>
      <xdr:col>0</xdr:col>
      <xdr:colOff>133350</xdr:colOff>
      <xdr:row>39</xdr:row>
      <xdr:rowOff>142875</xdr:rowOff>
    </xdr:from>
    <xdr:to>
      <xdr:col>0</xdr:col>
      <xdr:colOff>949474</xdr:colOff>
      <xdr:row>43</xdr:row>
      <xdr:rowOff>1332</xdr:rowOff>
    </xdr:to>
    <xdr:sp macro="[0]!ClearDailyFields" textlink="">
      <xdr:nvSpPr>
        <xdr:cNvPr id="6" name="Rectangle 5">
          <a:extLst>
            <a:ext uri="{FF2B5EF4-FFF2-40B4-BE49-F238E27FC236}">
              <a16:creationId xmlns:a16="http://schemas.microsoft.com/office/drawing/2014/main" id="{B8C17BAB-3BBF-4E4D-B7FB-2C3156AAC0D9}"/>
            </a:ext>
          </a:extLst>
        </xdr:cNvPr>
        <xdr:cNvSpPr/>
      </xdr:nvSpPr>
      <xdr:spPr>
        <a:xfrm>
          <a:off x="133350" y="8420100"/>
          <a:ext cx="816124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800" b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endParaRPr lang="en-US" sz="1800">
            <a:effectLst/>
          </a:endParaRPr>
        </a:p>
        <a:p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en-US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FIELDS</a:t>
          </a:r>
          <a:endParaRPr lang="en-US" sz="9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180975</xdr:colOff>
      <xdr:row>0</xdr:row>
      <xdr:rowOff>38100</xdr:rowOff>
    </xdr:from>
    <xdr:ext cx="542816" cy="544830"/>
    <xdr:pic>
      <xdr:nvPicPr>
        <xdr:cNvPr id="2" name="Picture 1">
          <a:extLst>
            <a:ext uri="{FF2B5EF4-FFF2-40B4-BE49-F238E27FC236}">
              <a16:creationId xmlns:a16="http://schemas.microsoft.com/office/drawing/2014/main" id="{33A318EB-B0FF-42F4-99C0-1E73F3E08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2480" y="38100"/>
          <a:ext cx="54281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200025</xdr:colOff>
      <xdr:row>0</xdr:row>
      <xdr:rowOff>28575</xdr:rowOff>
    </xdr:from>
    <xdr:ext cx="550436" cy="544830"/>
    <xdr:pic>
      <xdr:nvPicPr>
        <xdr:cNvPr id="3" name="Picture 1">
          <a:extLst>
            <a:ext uri="{FF2B5EF4-FFF2-40B4-BE49-F238E27FC236}">
              <a16:creationId xmlns:a16="http://schemas.microsoft.com/office/drawing/2014/main" id="{3B528466-2A1E-4228-8086-E7EF0D89E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07720" y="30480"/>
          <a:ext cx="55043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7</xdr:col>
      <xdr:colOff>577215</xdr:colOff>
      <xdr:row>39</xdr:row>
      <xdr:rowOff>142875</xdr:rowOff>
    </xdr:from>
    <xdr:to>
      <xdr:col>8</xdr:col>
      <xdr:colOff>990600</xdr:colOff>
      <xdr:row>43</xdr:row>
      <xdr:rowOff>1332</xdr:rowOff>
    </xdr:to>
    <xdr:sp macro="[0]!SendDaily" textlink="">
      <xdr:nvSpPr>
        <xdr:cNvPr id="6" name="Rectangle 5">
          <a:extLst>
            <a:ext uri="{FF2B5EF4-FFF2-40B4-BE49-F238E27FC236}">
              <a16:creationId xmlns:a16="http://schemas.microsoft.com/office/drawing/2014/main" id="{A2CAD870-C4E1-4433-96E6-7367F30C804D}"/>
            </a:ext>
          </a:extLst>
        </xdr:cNvPr>
        <xdr:cNvSpPr/>
      </xdr:nvSpPr>
      <xdr:spPr>
        <a:xfrm>
          <a:off x="7711440" y="8372475"/>
          <a:ext cx="1432560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u="sng"/>
            <a:t>SEND</a:t>
          </a:r>
          <a:r>
            <a:rPr lang="en-US" sz="1800" u="sng" baseline="0"/>
            <a:t> DAILY </a:t>
          </a:r>
          <a:r>
            <a:rPr lang="en-US" sz="900" baseline="0"/>
            <a:t>TO EMAIL GROUP</a:t>
          </a:r>
          <a:endParaRPr lang="en-US" sz="1800"/>
        </a:p>
      </xdr:txBody>
    </xdr:sp>
    <xdr:clientData/>
  </xdr:twoCellAnchor>
  <xdr:twoCellAnchor>
    <xdr:from>
      <xdr:col>0</xdr:col>
      <xdr:colOff>104775</xdr:colOff>
      <xdr:row>39</xdr:row>
      <xdr:rowOff>142875</xdr:rowOff>
    </xdr:from>
    <xdr:to>
      <xdr:col>0</xdr:col>
      <xdr:colOff>920899</xdr:colOff>
      <xdr:row>43</xdr:row>
      <xdr:rowOff>1332</xdr:rowOff>
    </xdr:to>
    <xdr:sp macro="[0]!ClearDailyFields" textlink="">
      <xdr:nvSpPr>
        <xdr:cNvPr id="7" name="Rectangle 6">
          <a:extLst>
            <a:ext uri="{FF2B5EF4-FFF2-40B4-BE49-F238E27FC236}">
              <a16:creationId xmlns:a16="http://schemas.microsoft.com/office/drawing/2014/main" id="{B529087E-FD48-4A0E-9D20-8E929CF6DEC3}"/>
            </a:ext>
          </a:extLst>
        </xdr:cNvPr>
        <xdr:cNvSpPr/>
      </xdr:nvSpPr>
      <xdr:spPr>
        <a:xfrm>
          <a:off x="104775" y="8372475"/>
          <a:ext cx="816124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800" b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endParaRPr lang="en-US" sz="1800">
            <a:effectLst/>
          </a:endParaRPr>
        </a:p>
        <a:p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en-US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FIELDS</a:t>
          </a:r>
          <a:endParaRPr lang="en-US" sz="9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180975</xdr:colOff>
      <xdr:row>0</xdr:row>
      <xdr:rowOff>28575</xdr:rowOff>
    </xdr:from>
    <xdr:ext cx="542816" cy="544830"/>
    <xdr:pic>
      <xdr:nvPicPr>
        <xdr:cNvPr id="2" name="Picture 1">
          <a:extLst>
            <a:ext uri="{FF2B5EF4-FFF2-40B4-BE49-F238E27FC236}">
              <a16:creationId xmlns:a16="http://schemas.microsoft.com/office/drawing/2014/main" id="{8BC8283B-8EF2-4160-B681-F7CAFFA50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2480" y="30480"/>
          <a:ext cx="54281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200025</xdr:colOff>
      <xdr:row>0</xdr:row>
      <xdr:rowOff>28575</xdr:rowOff>
    </xdr:from>
    <xdr:ext cx="550436" cy="544830"/>
    <xdr:pic>
      <xdr:nvPicPr>
        <xdr:cNvPr id="3" name="Picture 2">
          <a:extLst>
            <a:ext uri="{FF2B5EF4-FFF2-40B4-BE49-F238E27FC236}">
              <a16:creationId xmlns:a16="http://schemas.microsoft.com/office/drawing/2014/main" id="{2D4C2D63-3ED1-4384-B7A5-8864AA23B2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07720" y="30480"/>
          <a:ext cx="55043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7</xdr:col>
      <xdr:colOff>601980</xdr:colOff>
      <xdr:row>39</xdr:row>
      <xdr:rowOff>66675</xdr:rowOff>
    </xdr:from>
    <xdr:to>
      <xdr:col>8</xdr:col>
      <xdr:colOff>1011555</xdr:colOff>
      <xdr:row>42</xdr:row>
      <xdr:rowOff>96582</xdr:rowOff>
    </xdr:to>
    <xdr:sp macro="[0]!SendDaily" textlink="">
      <xdr:nvSpPr>
        <xdr:cNvPr id="4" name="Rectangle 3">
          <a:extLst>
            <a:ext uri="{FF2B5EF4-FFF2-40B4-BE49-F238E27FC236}">
              <a16:creationId xmlns:a16="http://schemas.microsoft.com/office/drawing/2014/main" id="{42C63598-15CE-432C-8E7E-16ED81CB6214}"/>
            </a:ext>
          </a:extLst>
        </xdr:cNvPr>
        <xdr:cNvSpPr/>
      </xdr:nvSpPr>
      <xdr:spPr>
        <a:xfrm>
          <a:off x="7736205" y="8258175"/>
          <a:ext cx="1428750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u="sng"/>
            <a:t>SEND</a:t>
          </a:r>
          <a:r>
            <a:rPr lang="en-US" sz="1800" u="sng" baseline="0"/>
            <a:t> DAILY </a:t>
          </a:r>
          <a:r>
            <a:rPr lang="en-US" sz="900" baseline="0"/>
            <a:t>TO EMAIL GROUP</a:t>
          </a:r>
          <a:endParaRPr lang="en-US" sz="1800"/>
        </a:p>
      </xdr:txBody>
    </xdr:sp>
    <xdr:clientData/>
  </xdr:twoCellAnchor>
  <xdr:twoCellAnchor>
    <xdr:from>
      <xdr:col>0</xdr:col>
      <xdr:colOff>123825</xdr:colOff>
      <xdr:row>39</xdr:row>
      <xdr:rowOff>66675</xdr:rowOff>
    </xdr:from>
    <xdr:to>
      <xdr:col>0</xdr:col>
      <xdr:colOff>939949</xdr:colOff>
      <xdr:row>42</xdr:row>
      <xdr:rowOff>96582</xdr:rowOff>
    </xdr:to>
    <xdr:sp macro="[0]!ClearDailyFields" textlink="">
      <xdr:nvSpPr>
        <xdr:cNvPr id="5" name="Rectangle 4">
          <a:extLst>
            <a:ext uri="{FF2B5EF4-FFF2-40B4-BE49-F238E27FC236}">
              <a16:creationId xmlns:a16="http://schemas.microsoft.com/office/drawing/2014/main" id="{41B42E88-1B02-4DBA-901B-68CE919D4E07}"/>
            </a:ext>
          </a:extLst>
        </xdr:cNvPr>
        <xdr:cNvSpPr/>
      </xdr:nvSpPr>
      <xdr:spPr>
        <a:xfrm>
          <a:off x="123825" y="8258175"/>
          <a:ext cx="816124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800" b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endParaRPr lang="en-US" sz="1800">
            <a:effectLst/>
          </a:endParaRPr>
        </a:p>
        <a:p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en-US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FIELDS</a:t>
          </a:r>
          <a:endParaRPr lang="en-US" sz="9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171450</xdr:colOff>
      <xdr:row>0</xdr:row>
      <xdr:rowOff>47625</xdr:rowOff>
    </xdr:from>
    <xdr:ext cx="542816" cy="544830"/>
    <xdr:pic>
      <xdr:nvPicPr>
        <xdr:cNvPr id="2" name="Picture 1">
          <a:extLst>
            <a:ext uri="{FF2B5EF4-FFF2-40B4-BE49-F238E27FC236}">
              <a16:creationId xmlns:a16="http://schemas.microsoft.com/office/drawing/2014/main" id="{B7203C8F-DF18-40EF-9FFA-A6C4B08C0D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4860" y="45720"/>
          <a:ext cx="54281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200025</xdr:colOff>
      <xdr:row>0</xdr:row>
      <xdr:rowOff>28575</xdr:rowOff>
    </xdr:from>
    <xdr:ext cx="550436" cy="544830"/>
    <xdr:pic>
      <xdr:nvPicPr>
        <xdr:cNvPr id="3" name="Picture 2">
          <a:extLst>
            <a:ext uri="{FF2B5EF4-FFF2-40B4-BE49-F238E27FC236}">
              <a16:creationId xmlns:a16="http://schemas.microsoft.com/office/drawing/2014/main" id="{2A4C517F-4F26-4426-9852-8B86FB981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07720" y="30480"/>
          <a:ext cx="55043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7</xdr:col>
      <xdr:colOff>558165</xdr:colOff>
      <xdr:row>39</xdr:row>
      <xdr:rowOff>38100</xdr:rowOff>
    </xdr:from>
    <xdr:to>
      <xdr:col>8</xdr:col>
      <xdr:colOff>979170</xdr:colOff>
      <xdr:row>42</xdr:row>
      <xdr:rowOff>68007</xdr:rowOff>
    </xdr:to>
    <xdr:sp macro="[0]!SendDaily" textlink="">
      <xdr:nvSpPr>
        <xdr:cNvPr id="4" name="Rectangle 3">
          <a:extLst>
            <a:ext uri="{FF2B5EF4-FFF2-40B4-BE49-F238E27FC236}">
              <a16:creationId xmlns:a16="http://schemas.microsoft.com/office/drawing/2014/main" id="{26BB5A6B-CE12-4B42-A92C-9F567377D64A}"/>
            </a:ext>
          </a:extLst>
        </xdr:cNvPr>
        <xdr:cNvSpPr/>
      </xdr:nvSpPr>
      <xdr:spPr>
        <a:xfrm>
          <a:off x="7692390" y="8286750"/>
          <a:ext cx="1440180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u="sng"/>
            <a:t>SEND</a:t>
          </a:r>
          <a:r>
            <a:rPr lang="en-US" sz="1800" u="sng" baseline="0"/>
            <a:t> DAILY </a:t>
          </a:r>
          <a:r>
            <a:rPr lang="en-US" sz="900" baseline="0"/>
            <a:t>TO EMAIL GROUP</a:t>
          </a:r>
          <a:endParaRPr lang="en-US" sz="1800"/>
        </a:p>
      </xdr:txBody>
    </xdr:sp>
    <xdr:clientData/>
  </xdr:twoCellAnchor>
  <xdr:twoCellAnchor>
    <xdr:from>
      <xdr:col>0</xdr:col>
      <xdr:colOff>85725</xdr:colOff>
      <xdr:row>39</xdr:row>
      <xdr:rowOff>38100</xdr:rowOff>
    </xdr:from>
    <xdr:to>
      <xdr:col>0</xdr:col>
      <xdr:colOff>901849</xdr:colOff>
      <xdr:row>42</xdr:row>
      <xdr:rowOff>68007</xdr:rowOff>
    </xdr:to>
    <xdr:sp macro="[0]!ClearDailyFields" textlink="">
      <xdr:nvSpPr>
        <xdr:cNvPr id="5" name="Rectangle 4">
          <a:extLst>
            <a:ext uri="{FF2B5EF4-FFF2-40B4-BE49-F238E27FC236}">
              <a16:creationId xmlns:a16="http://schemas.microsoft.com/office/drawing/2014/main" id="{E0FD2030-E0B2-484C-ABDE-EF3B7CBF6945}"/>
            </a:ext>
          </a:extLst>
        </xdr:cNvPr>
        <xdr:cNvSpPr/>
      </xdr:nvSpPr>
      <xdr:spPr>
        <a:xfrm>
          <a:off x="85725" y="8286750"/>
          <a:ext cx="816124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800" b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endParaRPr lang="en-US" sz="1800">
            <a:effectLst/>
          </a:endParaRPr>
        </a:p>
        <a:p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en-US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FIELDS</a:t>
          </a:r>
          <a:endParaRPr lang="en-US" sz="9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190500</xdr:colOff>
      <xdr:row>0</xdr:row>
      <xdr:rowOff>57150</xdr:rowOff>
    </xdr:from>
    <xdr:ext cx="542816" cy="537210"/>
    <xdr:pic>
      <xdr:nvPicPr>
        <xdr:cNvPr id="2" name="Picture 1">
          <a:extLst>
            <a:ext uri="{FF2B5EF4-FFF2-40B4-BE49-F238E27FC236}">
              <a16:creationId xmlns:a16="http://schemas.microsoft.com/office/drawing/2014/main" id="{B9909CC7-D698-4E8B-B494-27138F170B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00100" y="60960"/>
          <a:ext cx="542816" cy="5372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171450</xdr:colOff>
      <xdr:row>0</xdr:row>
      <xdr:rowOff>47625</xdr:rowOff>
    </xdr:from>
    <xdr:ext cx="542816" cy="544830"/>
    <xdr:pic>
      <xdr:nvPicPr>
        <xdr:cNvPr id="3" name="Picture 2">
          <a:extLst>
            <a:ext uri="{FF2B5EF4-FFF2-40B4-BE49-F238E27FC236}">
              <a16:creationId xmlns:a16="http://schemas.microsoft.com/office/drawing/2014/main" id="{49EC93CB-79AD-4012-89D0-9803211AD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4860" y="45720"/>
          <a:ext cx="54281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200025</xdr:colOff>
      <xdr:row>0</xdr:row>
      <xdr:rowOff>28575</xdr:rowOff>
    </xdr:from>
    <xdr:ext cx="550436" cy="544830"/>
    <xdr:pic>
      <xdr:nvPicPr>
        <xdr:cNvPr id="4" name="Picture 1">
          <a:extLst>
            <a:ext uri="{FF2B5EF4-FFF2-40B4-BE49-F238E27FC236}">
              <a16:creationId xmlns:a16="http://schemas.microsoft.com/office/drawing/2014/main" id="{9192442A-C248-4F04-AF5D-96D87F172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07720" y="30480"/>
          <a:ext cx="550436" cy="5448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7</xdr:col>
      <xdr:colOff>558165</xdr:colOff>
      <xdr:row>39</xdr:row>
      <xdr:rowOff>95250</xdr:rowOff>
    </xdr:from>
    <xdr:to>
      <xdr:col>8</xdr:col>
      <xdr:colOff>979170</xdr:colOff>
      <xdr:row>42</xdr:row>
      <xdr:rowOff>125157</xdr:rowOff>
    </xdr:to>
    <xdr:sp macro="[0]!SendDaily" textlink="">
      <xdr:nvSpPr>
        <xdr:cNvPr id="5" name="Rectangle 4">
          <a:extLst>
            <a:ext uri="{FF2B5EF4-FFF2-40B4-BE49-F238E27FC236}">
              <a16:creationId xmlns:a16="http://schemas.microsoft.com/office/drawing/2014/main" id="{E3423975-FF17-4432-B922-2BF39D26A1B5}"/>
            </a:ext>
          </a:extLst>
        </xdr:cNvPr>
        <xdr:cNvSpPr/>
      </xdr:nvSpPr>
      <xdr:spPr>
        <a:xfrm>
          <a:off x="7692390" y="8296275"/>
          <a:ext cx="1440180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u="sng"/>
            <a:t>SEND</a:t>
          </a:r>
          <a:r>
            <a:rPr lang="en-US" sz="1800" u="sng" baseline="0"/>
            <a:t> DAILY </a:t>
          </a:r>
          <a:r>
            <a:rPr lang="en-US" sz="900" baseline="0"/>
            <a:t>TO EMAIL GROUP</a:t>
          </a:r>
          <a:endParaRPr lang="en-US" sz="1800"/>
        </a:p>
      </xdr:txBody>
    </xdr:sp>
    <xdr:clientData/>
  </xdr:twoCellAnchor>
  <xdr:twoCellAnchor>
    <xdr:from>
      <xdr:col>0</xdr:col>
      <xdr:colOff>85725</xdr:colOff>
      <xdr:row>39</xdr:row>
      <xdr:rowOff>95250</xdr:rowOff>
    </xdr:from>
    <xdr:to>
      <xdr:col>0</xdr:col>
      <xdr:colOff>901849</xdr:colOff>
      <xdr:row>42</xdr:row>
      <xdr:rowOff>125157</xdr:rowOff>
    </xdr:to>
    <xdr:sp macro="[0]!ClearDailyFields" textlink="">
      <xdr:nvSpPr>
        <xdr:cNvPr id="6" name="Rectangle 5">
          <a:extLst>
            <a:ext uri="{FF2B5EF4-FFF2-40B4-BE49-F238E27FC236}">
              <a16:creationId xmlns:a16="http://schemas.microsoft.com/office/drawing/2014/main" id="{52F5CFDD-4C99-4AC2-A61C-D3F9C6659157}"/>
            </a:ext>
          </a:extLst>
        </xdr:cNvPr>
        <xdr:cNvSpPr/>
      </xdr:nvSpPr>
      <xdr:spPr>
        <a:xfrm>
          <a:off x="85725" y="8296275"/>
          <a:ext cx="816124" cy="544257"/>
        </a:xfrm>
        <a:prstGeom prst="rect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800" b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endParaRPr lang="en-US" sz="1800">
            <a:effectLst/>
          </a:endParaRPr>
        </a:p>
        <a:p>
          <a:r>
            <a:rPr lang="en-US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en-US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FIELDS</a:t>
          </a:r>
          <a:endParaRPr lang="en-US" sz="900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mfisher@tensio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F7501-2B12-4A26-B81B-CE345FD68232}">
  <sheetPr codeName="Sheet1"/>
  <dimension ref="A1:Y79"/>
  <sheetViews>
    <sheetView showGridLines="0" tabSelected="1" zoomScale="75" zoomScaleNormal="75" workbookViewId="0">
      <pane ySplit="27" topLeftCell="A28" activePane="bottomLeft" state="frozen"/>
      <selection pane="bottomLeft" activeCell="K41" sqref="K41"/>
    </sheetView>
  </sheetViews>
  <sheetFormatPr defaultRowHeight="14.4" x14ac:dyDescent="0.3"/>
  <cols>
    <col min="1" max="1" width="12.109375" customWidth="1"/>
    <col min="2" max="2" width="13.88671875" customWidth="1"/>
    <col min="3" max="9" width="13" customWidth="1"/>
    <col min="10" max="10" width="1" customWidth="1"/>
    <col min="11" max="11" width="14.33203125" customWidth="1"/>
    <col min="12" max="12" width="7.5546875" customWidth="1"/>
    <col min="13" max="13" width="7.109375" customWidth="1"/>
    <col min="14" max="15" width="14.5546875" customWidth="1"/>
  </cols>
  <sheetData>
    <row r="1" spans="1:25" ht="35.25" customHeight="1" thickBot="1" x14ac:dyDescent="0.35">
      <c r="A1" s="165" t="s">
        <v>0</v>
      </c>
      <c r="B1" s="166"/>
      <c r="C1" s="33"/>
      <c r="D1" s="26" t="s">
        <v>110</v>
      </c>
      <c r="E1" s="3"/>
      <c r="F1" s="26" t="s">
        <v>111</v>
      </c>
      <c r="G1" s="3"/>
      <c r="H1" s="26" t="s">
        <v>33</v>
      </c>
      <c r="I1" s="3"/>
      <c r="J1" s="3"/>
      <c r="K1" s="26" t="s">
        <v>28</v>
      </c>
      <c r="N1" s="111"/>
    </row>
    <row r="2" spans="1:25" ht="15" thickBot="1" x14ac:dyDescent="0.35">
      <c r="A2" s="167" t="str">
        <f>Settings!F4</f>
        <v>Kansas City</v>
      </c>
      <c r="B2" s="168"/>
      <c r="C2" s="3"/>
      <c r="D2" s="54">
        <f>F2/7</f>
        <v>3428571.4285714286</v>
      </c>
      <c r="E2" s="3"/>
      <c r="F2" s="113" cm="1">
        <f t="array" ref="F2">Settings!F7 - (Settings!F7/7) * SUMPRODUCT(--(ISNUMBER(MATCH(DAILY!C4:I4,Settings!I5:I45,0))))</f>
        <v>24000000</v>
      </c>
      <c r="G2" s="3"/>
      <c r="H2" s="53">
        <f ca="1">Settings!F7 * WEEKNUM(TODAY(), 2)</f>
        <v>696000000</v>
      </c>
      <c r="I2" s="3"/>
      <c r="J2" s="3">
        <v>36404300</v>
      </c>
      <c r="K2" s="53">
        <f>(Settings!F7/7)*(365-(COUNTIF(Settings!I5:I45, "&gt;0")))</f>
        <v>1251428571.4285715</v>
      </c>
    </row>
    <row r="3" spans="1:25" ht="5.25" customHeight="1" thickBot="1" x14ac:dyDescent="0.35">
      <c r="A3" s="3"/>
      <c r="B3" s="3"/>
      <c r="C3" s="3"/>
      <c r="D3" s="3"/>
      <c r="E3" s="3"/>
      <c r="F3" s="3"/>
      <c r="G3" s="3"/>
      <c r="H3" s="3"/>
      <c r="I3" s="3"/>
      <c r="J3" s="3"/>
    </row>
    <row r="4" spans="1:25" ht="15" thickBot="1" x14ac:dyDescent="0.35">
      <c r="A4" s="173"/>
      <c r="B4" s="174"/>
      <c r="C4" s="14" t="s">
        <v>5</v>
      </c>
      <c r="D4" s="14" t="s">
        <v>6</v>
      </c>
      <c r="E4" s="14" t="s">
        <v>7</v>
      </c>
      <c r="F4" s="14" t="s">
        <v>8</v>
      </c>
      <c r="G4" s="14" t="s">
        <v>9</v>
      </c>
      <c r="H4" s="14" t="s">
        <v>10</v>
      </c>
      <c r="I4" s="14" t="s">
        <v>11</v>
      </c>
      <c r="J4" s="15"/>
      <c r="K4" s="16"/>
    </row>
    <row r="5" spans="1:25" ht="30" customHeight="1" x14ac:dyDescent="0.3">
      <c r="A5" s="169" t="s">
        <v>2</v>
      </c>
      <c r="B5" s="170"/>
      <c r="C5" s="114">
        <f>SUN!F37</f>
        <v>6598100</v>
      </c>
      <c r="D5" s="115">
        <f>MON!F37</f>
        <v>0</v>
      </c>
      <c r="E5" s="115">
        <f>TUE!A36</f>
        <v>6598100</v>
      </c>
      <c r="F5" s="115">
        <f>WED!A36</f>
        <v>6733800</v>
      </c>
      <c r="G5" s="115">
        <f>THUR!A36</f>
        <v>5820200</v>
      </c>
      <c r="H5" s="115">
        <f>FRI!A36</f>
        <v>6224100</v>
      </c>
      <c r="I5" s="116">
        <f>SAT!A36</f>
        <v>6733800</v>
      </c>
      <c r="J5" s="9"/>
      <c r="K5" s="17"/>
      <c r="N5" s="161" t="s">
        <v>117</v>
      </c>
    </row>
    <row r="6" spans="1:25" ht="30" customHeight="1" x14ac:dyDescent="0.3">
      <c r="A6" s="169" t="s">
        <v>4</v>
      </c>
      <c r="B6" s="170"/>
      <c r="C6" s="62">
        <f>C5</f>
        <v>6598100</v>
      </c>
      <c r="D6" s="55">
        <f t="shared" ref="D6:I6" si="0">D5+C6</f>
        <v>6598100</v>
      </c>
      <c r="E6" s="55">
        <f t="shared" si="0"/>
        <v>13196200</v>
      </c>
      <c r="F6" s="55">
        <f t="shared" si="0"/>
        <v>19930000</v>
      </c>
      <c r="G6" s="55">
        <f t="shared" si="0"/>
        <v>25750200</v>
      </c>
      <c r="H6" s="55">
        <f t="shared" si="0"/>
        <v>31974300</v>
      </c>
      <c r="I6" s="66">
        <f t="shared" si="0"/>
        <v>38708100</v>
      </c>
      <c r="J6" s="9"/>
      <c r="K6" s="17"/>
      <c r="N6" s="161" t="s">
        <v>118</v>
      </c>
    </row>
    <row r="7" spans="1:25" ht="30" customHeight="1" x14ac:dyDescent="0.3">
      <c r="A7" s="169" t="s">
        <v>112</v>
      </c>
      <c r="B7" s="170"/>
      <c r="C7" s="63">
        <f>IF(ISNUMBER(MATCH(DAILY!C4,Settings!I5:I45,0)),0,DAILY!B41)</f>
        <v>5200000</v>
      </c>
      <c r="D7" s="64">
        <f>IF(ISNUMBER(MATCH(DAILY!D4,Settings!I5:I45,0)),C7,C7+DAILY!B41)</f>
        <v>10400000</v>
      </c>
      <c r="E7" s="64" cm="1">
        <f t="array" ref="E7">IF(ISNUMBER(MATCH(DAILY!E4,Settings!I5:I45,0)),MAX(IF(C7:D7&gt;0,C7:D7,0)),D7+DAILY!B41)</f>
        <v>15600000</v>
      </c>
      <c r="F7" s="64" cm="1">
        <f t="array" ref="F7">IF(ISNUMBER(MATCH(DAILY!F4,Settings!I5:I45,0)),MAX(IF(C7:E7&gt;0,C7:E7,0)),E7+DAILY!B41)</f>
        <v>20800000</v>
      </c>
      <c r="G7" s="64" cm="1">
        <f t="array" ref="G7">IF(ISNUMBER(MATCH(DAILY!G4,Settings!I5:I45,0)),MAX(IF(C7:F7&gt;0,C7:F7,0)),F7+DAILY!B41)</f>
        <v>26000000</v>
      </c>
      <c r="H7" s="64" cm="1">
        <f t="array" ref="H7">IF(ISNUMBER(MATCH(DAILY!H4,Settings!I5:I45,0)),MAX(IF(C7:G7&gt;0,C7:G7,0)),G7+DAILY!B41)</f>
        <v>31200000</v>
      </c>
      <c r="I7" s="65" cm="1">
        <f t="array" ref="I7">IF(ISNUMBER(MATCH(DAILY!I4,Settings!I5:I45,0)),MAX(IF(C7:H7&gt;0,C7:H7,0)),H7+DAILY!B41)</f>
        <v>36400000</v>
      </c>
      <c r="J7" s="9"/>
      <c r="K7" s="17"/>
      <c r="N7" s="161" t="s">
        <v>121</v>
      </c>
    </row>
    <row r="8" spans="1:25" ht="30" customHeight="1" thickBot="1" x14ac:dyDescent="0.35">
      <c r="A8" s="171" t="s">
        <v>3</v>
      </c>
      <c r="B8" s="172"/>
      <c r="C8" s="48">
        <f>C6-C7</f>
        <v>1398100</v>
      </c>
      <c r="D8" s="49">
        <f t="shared" ref="D8:I8" si="1">D6-D7</f>
        <v>-3801900</v>
      </c>
      <c r="E8" s="49">
        <f t="shared" si="1"/>
        <v>-2403800</v>
      </c>
      <c r="F8" s="49">
        <f t="shared" si="1"/>
        <v>-870000</v>
      </c>
      <c r="G8" s="49">
        <f t="shared" si="1"/>
        <v>-249800</v>
      </c>
      <c r="H8" s="49">
        <f t="shared" si="1"/>
        <v>774300</v>
      </c>
      <c r="I8" s="50">
        <f t="shared" si="1"/>
        <v>2308100</v>
      </c>
      <c r="J8" s="18"/>
      <c r="K8" s="19"/>
    </row>
    <row r="9" spans="1:25" ht="16.5" customHeight="1" x14ac:dyDescent="0.3">
      <c r="A9" s="2" t="s">
        <v>12</v>
      </c>
      <c r="B9" s="2">
        <f>D2</f>
        <v>3428571.4285714286</v>
      </c>
      <c r="C9" s="2">
        <f>D2</f>
        <v>3428571.4285714286</v>
      </c>
      <c r="D9" s="2">
        <f>D2</f>
        <v>3428571.4285714286</v>
      </c>
      <c r="E9" s="2">
        <f>D2</f>
        <v>3428571.4285714286</v>
      </c>
      <c r="F9" s="2">
        <f>D2</f>
        <v>3428571.4285714286</v>
      </c>
      <c r="G9" s="2">
        <f>D2</f>
        <v>3428571.4285714286</v>
      </c>
      <c r="H9" s="2">
        <f>D2</f>
        <v>3428571.4285714286</v>
      </c>
      <c r="I9" s="3"/>
      <c r="J9" s="3"/>
      <c r="K9" s="3"/>
    </row>
    <row r="10" spans="1:25" ht="25.5" customHeight="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N10" s="12"/>
      <c r="R10" s="34"/>
    </row>
    <row r="11" spans="1:25" ht="30" customHeight="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N11" s="12"/>
    </row>
    <row r="12" spans="1:25" ht="30" customHeight="1" thickBot="1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N12" s="12"/>
    </row>
    <row r="13" spans="1:25" ht="15.6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N13" s="41" t="s">
        <v>23</v>
      </c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3"/>
    </row>
    <row r="14" spans="1:25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N14" s="24" t="s">
        <v>24</v>
      </c>
      <c r="O14" s="1" t="s">
        <v>25</v>
      </c>
      <c r="P14" s="1"/>
      <c r="Q14" s="1"/>
      <c r="R14" s="1"/>
      <c r="S14" s="1"/>
      <c r="T14" s="1"/>
      <c r="U14" s="1"/>
      <c r="V14" s="1"/>
      <c r="W14" s="1"/>
      <c r="X14" s="1"/>
      <c r="Y14" s="25"/>
    </row>
    <row r="15" spans="1:25" ht="15" thickBot="1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N15" s="27">
        <v>45658</v>
      </c>
      <c r="O15" s="28">
        <v>45731</v>
      </c>
      <c r="P15" s="21"/>
      <c r="Q15" s="21"/>
      <c r="R15" s="21"/>
      <c r="S15" s="21"/>
      <c r="T15" s="21"/>
      <c r="U15" s="21"/>
      <c r="V15" s="21"/>
      <c r="W15" s="21"/>
      <c r="X15" s="21"/>
      <c r="Y15" s="23"/>
    </row>
    <row r="16" spans="1:25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4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4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4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4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4" ht="15" thickBo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4" ht="48" customHeight="1" thickBot="1" x14ac:dyDescent="0.35">
      <c r="A22" s="3"/>
      <c r="B22" s="26" t="s">
        <v>30</v>
      </c>
      <c r="C22" s="3"/>
      <c r="D22" s="26" t="s">
        <v>29</v>
      </c>
      <c r="E22" s="3"/>
      <c r="F22" s="26" t="s">
        <v>31</v>
      </c>
      <c r="G22" s="3"/>
      <c r="H22" s="26" t="s">
        <v>92</v>
      </c>
      <c r="I22" s="3"/>
      <c r="J22" s="3"/>
      <c r="K22" s="26" t="s">
        <v>32</v>
      </c>
    </row>
    <row r="23" spans="1:14" ht="15" thickBot="1" x14ac:dyDescent="0.35">
      <c r="A23" s="3"/>
      <c r="B23" s="45">
        <f>COUNTIF(I28:I79, "&gt;" &amp; Settings!F7)</f>
        <v>21</v>
      </c>
      <c r="C23" s="3"/>
      <c r="D23" s="44">
        <f>COUNTIF(I28:I79, "&lt;" &amp; Settings!F7) - COUNTIF(I28:I79, "=" &amp; "0")</f>
        <v>2</v>
      </c>
      <c r="E23" s="3"/>
      <c r="F23" s="52">
        <f>F2-H23</f>
        <v>-14708100</v>
      </c>
      <c r="G23" s="3"/>
      <c r="H23" s="51">
        <f>I6</f>
        <v>38708100</v>
      </c>
      <c r="I23" s="3"/>
      <c r="J23" s="3"/>
      <c r="K23" s="51">
        <f>SUMIF(I28:I79, "&gt;0", I28:I79)</f>
        <v>719004300</v>
      </c>
    </row>
    <row r="24" spans="1:14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4" ht="15" thickBot="1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4" ht="15.6" x14ac:dyDescent="0.3">
      <c r="A26" s="162" t="s">
        <v>15</v>
      </c>
      <c r="B26" s="163"/>
      <c r="C26" s="163"/>
      <c r="D26" s="163"/>
      <c r="E26" s="163"/>
      <c r="F26" s="163"/>
      <c r="G26" s="163"/>
      <c r="H26" s="163"/>
      <c r="I26" s="164"/>
      <c r="J26" s="8"/>
      <c r="K26" s="4"/>
    </row>
    <row r="27" spans="1:14" ht="29.4" thickBot="1" x14ac:dyDescent="0.35">
      <c r="A27" s="20" t="s">
        <v>14</v>
      </c>
      <c r="B27" s="21" t="s">
        <v>5</v>
      </c>
      <c r="C27" s="21" t="s">
        <v>6</v>
      </c>
      <c r="D27" s="21" t="s">
        <v>7</v>
      </c>
      <c r="E27" s="21" t="s">
        <v>8</v>
      </c>
      <c r="F27" s="21" t="s">
        <v>9</v>
      </c>
      <c r="G27" s="21" t="s">
        <v>10</v>
      </c>
      <c r="H27" s="21" t="s">
        <v>11</v>
      </c>
      <c r="I27" s="22" t="s">
        <v>13</v>
      </c>
      <c r="J27" s="18"/>
      <c r="K27" s="23" t="s">
        <v>16</v>
      </c>
    </row>
    <row r="28" spans="1:14" x14ac:dyDescent="0.3">
      <c r="A28" s="10">
        <v>1</v>
      </c>
      <c r="B28" s="55">
        <v>2500000</v>
      </c>
      <c r="C28" s="55">
        <v>3000000</v>
      </c>
      <c r="D28" s="55">
        <v>4000000</v>
      </c>
      <c r="E28" s="55">
        <v>4000000</v>
      </c>
      <c r="F28" s="55">
        <v>4200000</v>
      </c>
      <c r="G28" s="55">
        <v>4200000</v>
      </c>
      <c r="H28" s="55">
        <v>4100000</v>
      </c>
      <c r="I28" s="56">
        <f>SUM(B28:H28)</f>
        <v>26000000</v>
      </c>
      <c r="J28" s="13" t="str">
        <f>IF(I28&lt;F2,I28,"")</f>
        <v/>
      </c>
      <c r="K28" s="29"/>
      <c r="N28" s="110" t="s">
        <v>88</v>
      </c>
    </row>
    <row r="29" spans="1:14" x14ac:dyDescent="0.3">
      <c r="A29" s="5">
        <v>2</v>
      </c>
      <c r="B29" s="57">
        <v>2500000</v>
      </c>
      <c r="C29" s="57">
        <v>3000000</v>
      </c>
      <c r="D29" s="57">
        <v>4000000</v>
      </c>
      <c r="E29" s="57">
        <v>4000000</v>
      </c>
      <c r="F29" s="57">
        <v>4200000</v>
      </c>
      <c r="G29" s="57">
        <v>4200000</v>
      </c>
      <c r="H29" s="57">
        <v>4100000</v>
      </c>
      <c r="I29" s="58">
        <f t="shared" ref="I29:I79" si="2">SUM(B29:H29)</f>
        <v>26000000</v>
      </c>
      <c r="J29" s="13" t="str">
        <f t="shared" ref="J29:J79" si="3">IF(I29&lt;F3,I29,"")</f>
        <v/>
      </c>
      <c r="K29" s="30"/>
      <c r="N29" s="110" t="s">
        <v>89</v>
      </c>
    </row>
    <row r="30" spans="1:14" x14ac:dyDescent="0.3">
      <c r="A30" s="6">
        <v>3</v>
      </c>
      <c r="B30" s="59">
        <v>2500000</v>
      </c>
      <c r="C30" s="59">
        <v>3000000</v>
      </c>
      <c r="D30" s="59">
        <v>4000000</v>
      </c>
      <c r="E30" s="59">
        <v>4000000</v>
      </c>
      <c r="F30" s="59">
        <v>4200000</v>
      </c>
      <c r="G30" s="59">
        <v>4200000</v>
      </c>
      <c r="H30" s="59">
        <v>4100000</v>
      </c>
      <c r="I30" s="60">
        <f t="shared" si="2"/>
        <v>26000000</v>
      </c>
      <c r="J30" s="13">
        <f t="shared" si="3"/>
        <v>26000000</v>
      </c>
      <c r="K30" s="31"/>
      <c r="N30" t="s">
        <v>107</v>
      </c>
    </row>
    <row r="31" spans="1:14" x14ac:dyDescent="0.3">
      <c r="A31" s="5">
        <v>4</v>
      </c>
      <c r="B31" s="57">
        <v>1000000</v>
      </c>
      <c r="C31" s="57">
        <v>1000000</v>
      </c>
      <c r="D31" s="57">
        <v>1000000</v>
      </c>
      <c r="E31" s="57">
        <v>1000000</v>
      </c>
      <c r="F31" s="57">
        <v>1000000</v>
      </c>
      <c r="G31" s="57">
        <v>4200000</v>
      </c>
      <c r="H31" s="57">
        <v>20000000</v>
      </c>
      <c r="I31" s="58">
        <f t="shared" si="2"/>
        <v>29200000</v>
      </c>
      <c r="J31" s="13" t="str">
        <f t="shared" si="3"/>
        <v/>
      </c>
      <c r="K31" s="30"/>
      <c r="N31" t="s">
        <v>104</v>
      </c>
    </row>
    <row r="32" spans="1:14" x14ac:dyDescent="0.3">
      <c r="A32" s="6">
        <v>5</v>
      </c>
      <c r="B32" s="59">
        <v>2500000</v>
      </c>
      <c r="C32" s="59">
        <v>3000000</v>
      </c>
      <c r="D32" s="59">
        <v>4000000</v>
      </c>
      <c r="E32" s="59">
        <v>4000000</v>
      </c>
      <c r="F32" s="59">
        <v>4200000</v>
      </c>
      <c r="G32" s="59">
        <v>4200000</v>
      </c>
      <c r="H32" s="59">
        <v>4100000</v>
      </c>
      <c r="I32" s="60">
        <f t="shared" si="2"/>
        <v>26000000</v>
      </c>
      <c r="J32" s="13" t="str">
        <f t="shared" si="3"/>
        <v/>
      </c>
      <c r="K32" s="31"/>
      <c r="N32" t="s">
        <v>105</v>
      </c>
    </row>
    <row r="33" spans="1:25" x14ac:dyDescent="0.3">
      <c r="A33" s="5">
        <v>6</v>
      </c>
      <c r="B33" s="57">
        <v>2500000</v>
      </c>
      <c r="C33" s="57">
        <v>3000000</v>
      </c>
      <c r="D33" s="57">
        <v>4000000</v>
      </c>
      <c r="E33" s="57">
        <v>4000000</v>
      </c>
      <c r="F33" s="57">
        <v>4200000</v>
      </c>
      <c r="G33" s="57">
        <v>4200000</v>
      </c>
      <c r="H33" s="57">
        <v>4100000</v>
      </c>
      <c r="I33" s="58">
        <f t="shared" si="2"/>
        <v>26000000</v>
      </c>
      <c r="J33" s="13" t="str">
        <f t="shared" si="3"/>
        <v/>
      </c>
      <c r="K33" s="30"/>
      <c r="N33" t="s">
        <v>106</v>
      </c>
    </row>
    <row r="34" spans="1:25" x14ac:dyDescent="0.3">
      <c r="A34" s="6">
        <v>7</v>
      </c>
      <c r="B34" s="59">
        <v>2500000</v>
      </c>
      <c r="C34" s="59">
        <v>3000000</v>
      </c>
      <c r="D34" s="59">
        <v>4000000</v>
      </c>
      <c r="E34" s="59">
        <v>4000000</v>
      </c>
      <c r="F34" s="59">
        <v>4200000</v>
      </c>
      <c r="G34" s="59">
        <v>4200000</v>
      </c>
      <c r="H34" s="59">
        <v>4100000</v>
      </c>
      <c r="I34" s="60">
        <f t="shared" si="2"/>
        <v>26000000</v>
      </c>
      <c r="J34" s="13" t="str">
        <f t="shared" si="3"/>
        <v/>
      </c>
      <c r="K34" s="31"/>
      <c r="N34" t="s">
        <v>120</v>
      </c>
    </row>
    <row r="35" spans="1:25" x14ac:dyDescent="0.3">
      <c r="A35" s="5">
        <v>8</v>
      </c>
      <c r="B35" s="57">
        <v>2500000</v>
      </c>
      <c r="C35" s="57">
        <v>3000000</v>
      </c>
      <c r="D35" s="57">
        <v>4000000</v>
      </c>
      <c r="E35" s="57">
        <v>4000000</v>
      </c>
      <c r="F35" s="57">
        <v>4200000</v>
      </c>
      <c r="G35" s="57">
        <v>4200000</v>
      </c>
      <c r="H35" s="57">
        <v>4100000</v>
      </c>
      <c r="I35" s="58">
        <f t="shared" si="2"/>
        <v>26000000</v>
      </c>
      <c r="J35" s="13" t="str">
        <f t="shared" si="3"/>
        <v/>
      </c>
      <c r="K35" s="30"/>
    </row>
    <row r="36" spans="1:25" x14ac:dyDescent="0.3">
      <c r="A36" s="6">
        <v>9</v>
      </c>
      <c r="B36" s="59">
        <v>2500000</v>
      </c>
      <c r="C36" s="59">
        <v>3000000</v>
      </c>
      <c r="D36" s="59">
        <v>2500000</v>
      </c>
      <c r="E36" s="59">
        <v>2500000</v>
      </c>
      <c r="F36" s="59">
        <v>3000000</v>
      </c>
      <c r="G36" s="59">
        <v>4200000</v>
      </c>
      <c r="H36" s="59">
        <v>4100000</v>
      </c>
      <c r="I36" s="60">
        <f t="shared" si="2"/>
        <v>21800000</v>
      </c>
      <c r="J36" s="13" t="str">
        <f t="shared" si="3"/>
        <v/>
      </c>
      <c r="K36" s="31"/>
      <c r="N36" s="35" t="s">
        <v>95</v>
      </c>
    </row>
    <row r="37" spans="1:25" x14ac:dyDescent="0.3">
      <c r="A37" s="5">
        <v>10</v>
      </c>
      <c r="B37" s="57">
        <v>2500000</v>
      </c>
      <c r="C37" s="57">
        <v>3000000</v>
      </c>
      <c r="D37" s="57">
        <v>4000000</v>
      </c>
      <c r="E37" s="57">
        <v>4000000</v>
      </c>
      <c r="F37" s="57">
        <v>4200000</v>
      </c>
      <c r="G37" s="57">
        <v>4200000</v>
      </c>
      <c r="H37" s="57">
        <v>4100000</v>
      </c>
      <c r="I37" s="58">
        <f t="shared" si="2"/>
        <v>26000000</v>
      </c>
      <c r="J37" s="13" t="str">
        <f t="shared" si="3"/>
        <v/>
      </c>
      <c r="K37" s="30"/>
      <c r="N37" s="80" t="s">
        <v>91</v>
      </c>
    </row>
    <row r="38" spans="1:25" x14ac:dyDescent="0.3">
      <c r="A38" s="6">
        <v>11</v>
      </c>
      <c r="B38" s="59">
        <v>2500000</v>
      </c>
      <c r="C38" s="59">
        <v>3000000</v>
      </c>
      <c r="D38" s="59">
        <v>4000000</v>
      </c>
      <c r="E38" s="59">
        <v>4000000</v>
      </c>
      <c r="F38" s="59">
        <v>4200000</v>
      </c>
      <c r="G38" s="59">
        <v>4200000</v>
      </c>
      <c r="H38" s="59">
        <v>4100000</v>
      </c>
      <c r="I38" s="60">
        <f t="shared" si="2"/>
        <v>26000000</v>
      </c>
      <c r="J38" s="13" t="str">
        <f t="shared" si="3"/>
        <v/>
      </c>
      <c r="K38" s="31"/>
      <c r="N38" t="s">
        <v>94</v>
      </c>
    </row>
    <row r="39" spans="1:25" x14ac:dyDescent="0.3">
      <c r="A39" s="5">
        <v>12</v>
      </c>
      <c r="B39" s="57">
        <v>2500000</v>
      </c>
      <c r="C39" s="57">
        <v>2500000</v>
      </c>
      <c r="D39" s="57">
        <v>2500000</v>
      </c>
      <c r="E39" s="57">
        <v>4000000</v>
      </c>
      <c r="F39" s="57">
        <v>4200000</v>
      </c>
      <c r="G39" s="57">
        <v>4200000</v>
      </c>
      <c r="H39" s="57">
        <v>4100000</v>
      </c>
      <c r="I39" s="58">
        <f t="shared" si="2"/>
        <v>24000000</v>
      </c>
      <c r="J39" s="13" t="str">
        <f t="shared" si="3"/>
        <v/>
      </c>
      <c r="K39" s="30"/>
      <c r="N39" t="s">
        <v>122</v>
      </c>
    </row>
    <row r="40" spans="1:25" x14ac:dyDescent="0.3">
      <c r="A40" s="6">
        <v>13</v>
      </c>
      <c r="B40" s="59">
        <v>2500000</v>
      </c>
      <c r="C40" s="59">
        <v>3000000</v>
      </c>
      <c r="D40" s="59">
        <v>4000000</v>
      </c>
      <c r="E40" s="59">
        <v>4000000</v>
      </c>
      <c r="F40" s="59">
        <v>4200000</v>
      </c>
      <c r="G40" s="59">
        <v>4200000</v>
      </c>
      <c r="H40" s="59">
        <v>4100000</v>
      </c>
      <c r="I40" s="60">
        <f t="shared" si="2"/>
        <v>26000000</v>
      </c>
      <c r="J40" s="13" t="str">
        <f t="shared" si="3"/>
        <v/>
      </c>
      <c r="K40" s="31"/>
    </row>
    <row r="41" spans="1:25" x14ac:dyDescent="0.3">
      <c r="A41" s="5">
        <v>14</v>
      </c>
      <c r="B41" s="57">
        <v>2500000</v>
      </c>
      <c r="C41" s="57">
        <v>3000000</v>
      </c>
      <c r="D41" s="57">
        <v>4000000</v>
      </c>
      <c r="E41" s="57">
        <v>4000000</v>
      </c>
      <c r="F41" s="57">
        <v>4000000</v>
      </c>
      <c r="G41" s="57">
        <v>4000000</v>
      </c>
      <c r="H41" s="57">
        <v>4000000</v>
      </c>
      <c r="I41" s="58">
        <f t="shared" si="2"/>
        <v>25500000</v>
      </c>
      <c r="J41" s="13" t="str">
        <f t="shared" si="3"/>
        <v/>
      </c>
      <c r="K41" s="30"/>
    </row>
    <row r="42" spans="1:25" x14ac:dyDescent="0.3">
      <c r="A42" s="6">
        <v>15</v>
      </c>
      <c r="B42" s="59">
        <v>2500000</v>
      </c>
      <c r="C42" s="59">
        <v>3000000</v>
      </c>
      <c r="D42" s="59">
        <v>4000000</v>
      </c>
      <c r="E42" s="59">
        <v>4000000</v>
      </c>
      <c r="F42" s="59">
        <v>4200000</v>
      </c>
      <c r="G42" s="59">
        <v>4200000</v>
      </c>
      <c r="H42" s="59">
        <v>4100000</v>
      </c>
      <c r="I42" s="60">
        <f t="shared" si="2"/>
        <v>26000000</v>
      </c>
      <c r="J42" s="13" t="str">
        <f t="shared" si="3"/>
        <v/>
      </c>
      <c r="K42" s="31"/>
      <c r="N42" t="s">
        <v>97</v>
      </c>
    </row>
    <row r="43" spans="1:25" x14ac:dyDescent="0.3">
      <c r="A43" s="5">
        <v>16</v>
      </c>
      <c r="B43" s="57">
        <v>2500000</v>
      </c>
      <c r="C43" s="57">
        <v>3000000</v>
      </c>
      <c r="D43" s="57">
        <v>4000000</v>
      </c>
      <c r="E43" s="57">
        <v>4000000</v>
      </c>
      <c r="F43" s="57">
        <v>4200000</v>
      </c>
      <c r="G43" s="57">
        <v>4200000</v>
      </c>
      <c r="H43" s="57">
        <v>4100000</v>
      </c>
      <c r="I43" s="58">
        <f t="shared" si="2"/>
        <v>26000000</v>
      </c>
      <c r="J43" s="13" t="str">
        <f t="shared" si="3"/>
        <v/>
      </c>
      <c r="K43" s="30"/>
    </row>
    <row r="44" spans="1:25" x14ac:dyDescent="0.3">
      <c r="A44" s="6">
        <v>17</v>
      </c>
      <c r="B44" s="59">
        <v>2500000</v>
      </c>
      <c r="C44" s="59">
        <v>3000000</v>
      </c>
      <c r="D44" s="59">
        <v>4000000</v>
      </c>
      <c r="E44" s="59">
        <v>4000000</v>
      </c>
      <c r="F44" s="59">
        <v>4200000</v>
      </c>
      <c r="G44" s="59">
        <v>4200000</v>
      </c>
      <c r="H44" s="59">
        <v>4100000</v>
      </c>
      <c r="I44" s="60">
        <f t="shared" si="2"/>
        <v>26000000</v>
      </c>
      <c r="J44" s="13" t="str">
        <f t="shared" si="3"/>
        <v/>
      </c>
      <c r="K44" s="31"/>
      <c r="N44" s="151" t="s">
        <v>116</v>
      </c>
    </row>
    <row r="45" spans="1:25" ht="14.4" customHeight="1" x14ac:dyDescent="0.3">
      <c r="A45" s="5">
        <v>18</v>
      </c>
      <c r="B45" s="57">
        <v>2500000</v>
      </c>
      <c r="C45" s="57">
        <v>3000000</v>
      </c>
      <c r="D45" s="57">
        <v>4000000</v>
      </c>
      <c r="E45" s="57">
        <v>4000000</v>
      </c>
      <c r="F45" s="57">
        <v>4200000</v>
      </c>
      <c r="G45" s="57">
        <v>4200000</v>
      </c>
      <c r="H45" s="57">
        <v>4100000</v>
      </c>
      <c r="I45" s="58">
        <f t="shared" si="2"/>
        <v>26000000</v>
      </c>
      <c r="J45" s="13" t="str">
        <f t="shared" si="3"/>
        <v/>
      </c>
      <c r="K45" s="30"/>
      <c r="N45" t="s">
        <v>119</v>
      </c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</row>
    <row r="46" spans="1:25" x14ac:dyDescent="0.3">
      <c r="A46" s="6">
        <v>19</v>
      </c>
      <c r="B46" s="59">
        <v>2500000</v>
      </c>
      <c r="C46" s="59">
        <v>3000000</v>
      </c>
      <c r="D46" s="59">
        <v>4000000</v>
      </c>
      <c r="E46" s="59">
        <v>4000000</v>
      </c>
      <c r="F46" s="59">
        <v>4200000</v>
      </c>
      <c r="G46" s="59">
        <v>4200000</v>
      </c>
      <c r="H46" s="59">
        <v>4100000</v>
      </c>
      <c r="I46" s="60">
        <f t="shared" si="2"/>
        <v>26000000</v>
      </c>
      <c r="J46" s="13" t="str">
        <f t="shared" si="3"/>
        <v/>
      </c>
      <c r="K46" s="31"/>
      <c r="N46" t="s">
        <v>114</v>
      </c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</row>
    <row r="47" spans="1:25" x14ac:dyDescent="0.3">
      <c r="A47" s="5">
        <v>20</v>
      </c>
      <c r="B47" s="57">
        <v>2500000</v>
      </c>
      <c r="C47" s="57">
        <v>3000000</v>
      </c>
      <c r="D47" s="57">
        <v>4000000</v>
      </c>
      <c r="E47" s="57">
        <v>4000000</v>
      </c>
      <c r="F47" s="57">
        <v>4200000</v>
      </c>
      <c r="G47" s="57">
        <v>4200000</v>
      </c>
      <c r="H47" s="57">
        <v>4100000</v>
      </c>
      <c r="I47" s="58">
        <f t="shared" si="2"/>
        <v>26000000</v>
      </c>
      <c r="J47" s="13" t="str">
        <f t="shared" si="3"/>
        <v/>
      </c>
      <c r="K47" s="3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</row>
    <row r="48" spans="1:25" x14ac:dyDescent="0.3">
      <c r="A48" s="6">
        <v>21</v>
      </c>
      <c r="B48" s="59">
        <v>2500000</v>
      </c>
      <c r="C48" s="59">
        <v>3000000</v>
      </c>
      <c r="D48" s="59">
        <v>4000000</v>
      </c>
      <c r="E48" s="59">
        <v>4000000</v>
      </c>
      <c r="F48" s="59">
        <v>4200000</v>
      </c>
      <c r="G48" s="59">
        <v>4200000</v>
      </c>
      <c r="H48" s="59">
        <v>4100000</v>
      </c>
      <c r="I48" s="60">
        <f t="shared" si="2"/>
        <v>26000000</v>
      </c>
      <c r="J48" s="13">
        <f>IF(I48&lt;F22,I48,"")</f>
        <v>26000000</v>
      </c>
      <c r="K48" s="31"/>
    </row>
    <row r="49" spans="1:11" x14ac:dyDescent="0.3">
      <c r="A49" s="5">
        <v>22</v>
      </c>
      <c r="B49" s="57">
        <v>2500000</v>
      </c>
      <c r="C49" s="57">
        <v>2500000</v>
      </c>
      <c r="D49" s="57">
        <v>2500000</v>
      </c>
      <c r="E49" s="57">
        <v>4000000</v>
      </c>
      <c r="F49" s="57">
        <v>4200000</v>
      </c>
      <c r="G49" s="57">
        <v>4200000</v>
      </c>
      <c r="H49" s="57">
        <v>4100000</v>
      </c>
      <c r="I49" s="58">
        <f t="shared" si="2"/>
        <v>24000000</v>
      </c>
      <c r="J49" s="13" t="str">
        <f>IF(I49&lt;F23,I49,"")</f>
        <v/>
      </c>
      <c r="K49" s="30"/>
    </row>
    <row r="50" spans="1:11" x14ac:dyDescent="0.3">
      <c r="A50" s="6">
        <v>23</v>
      </c>
      <c r="B50" s="59">
        <v>2500000</v>
      </c>
      <c r="C50" s="59">
        <v>2500000</v>
      </c>
      <c r="D50" s="59">
        <v>2500000</v>
      </c>
      <c r="E50" s="59">
        <v>4000000</v>
      </c>
      <c r="F50" s="59">
        <v>4200000</v>
      </c>
      <c r="G50" s="59">
        <v>4200000</v>
      </c>
      <c r="H50" s="59">
        <v>4100000</v>
      </c>
      <c r="I50" s="60">
        <f t="shared" si="2"/>
        <v>24000000</v>
      </c>
      <c r="J50" s="13" t="str">
        <f t="shared" si="3"/>
        <v/>
      </c>
      <c r="K50" s="31"/>
    </row>
    <row r="51" spans="1:11" x14ac:dyDescent="0.3">
      <c r="A51" s="5">
        <v>24</v>
      </c>
      <c r="B51" s="57">
        <v>2500000</v>
      </c>
      <c r="C51" s="57">
        <v>2500000</v>
      </c>
      <c r="D51" s="57">
        <v>2500000</v>
      </c>
      <c r="E51" s="57">
        <v>4000000</v>
      </c>
      <c r="F51" s="57">
        <v>4200000</v>
      </c>
      <c r="G51" s="57">
        <v>4200000</v>
      </c>
      <c r="H51" s="57">
        <v>4100000</v>
      </c>
      <c r="I51" s="58">
        <f t="shared" si="2"/>
        <v>24000000</v>
      </c>
      <c r="J51" s="13" t="str">
        <f t="shared" si="3"/>
        <v/>
      </c>
      <c r="K51" s="30"/>
    </row>
    <row r="52" spans="1:11" x14ac:dyDescent="0.3">
      <c r="A52" s="6">
        <v>25</v>
      </c>
      <c r="B52" s="59">
        <v>2500000</v>
      </c>
      <c r="C52" s="59">
        <v>3000000</v>
      </c>
      <c r="D52" s="59">
        <v>4000000</v>
      </c>
      <c r="E52" s="59">
        <v>4000000</v>
      </c>
      <c r="F52" s="59">
        <v>4200000</v>
      </c>
      <c r="G52" s="59">
        <v>4200000</v>
      </c>
      <c r="H52" s="59">
        <v>4100000</v>
      </c>
      <c r="I52" s="60">
        <f t="shared" si="2"/>
        <v>26000000</v>
      </c>
      <c r="J52" s="13" t="str">
        <f t="shared" si="3"/>
        <v/>
      </c>
      <c r="K52" s="31"/>
    </row>
    <row r="53" spans="1:11" x14ac:dyDescent="0.3">
      <c r="A53" s="5">
        <v>26</v>
      </c>
      <c r="B53" s="57">
        <v>2500000</v>
      </c>
      <c r="C53" s="57">
        <v>2500000</v>
      </c>
      <c r="D53" s="57">
        <v>2500000</v>
      </c>
      <c r="E53" s="57">
        <v>4000000</v>
      </c>
      <c r="F53" s="57">
        <v>4200000</v>
      </c>
      <c r="G53" s="57">
        <v>4200000</v>
      </c>
      <c r="H53" s="57">
        <v>4100000</v>
      </c>
      <c r="I53" s="58">
        <f t="shared" si="2"/>
        <v>24000000</v>
      </c>
      <c r="J53" s="13">
        <f t="shared" si="3"/>
        <v>24000000</v>
      </c>
      <c r="K53" s="30"/>
    </row>
    <row r="54" spans="1:11" x14ac:dyDescent="0.3">
      <c r="A54" s="6">
        <v>27</v>
      </c>
      <c r="B54" s="59"/>
      <c r="C54" s="59"/>
      <c r="D54" s="59"/>
      <c r="E54" s="59"/>
      <c r="F54" s="59"/>
      <c r="G54" s="59"/>
      <c r="H54" s="59"/>
      <c r="I54" s="60">
        <f t="shared" si="2"/>
        <v>0</v>
      </c>
      <c r="J54" s="13">
        <f t="shared" si="3"/>
        <v>0</v>
      </c>
      <c r="K54" s="31"/>
    </row>
    <row r="55" spans="1:11" x14ac:dyDescent="0.3">
      <c r="A55" s="5">
        <v>28</v>
      </c>
      <c r="B55" s="57">
        <v>2900000</v>
      </c>
      <c r="C55" s="57">
        <v>3600000</v>
      </c>
      <c r="D55" s="57">
        <v>0</v>
      </c>
      <c r="E55" s="57">
        <v>2900000</v>
      </c>
      <c r="F55" s="57">
        <v>2900000</v>
      </c>
      <c r="G55" s="57">
        <v>2900000</v>
      </c>
      <c r="H55" s="57">
        <v>2900000</v>
      </c>
      <c r="I55" s="58">
        <f t="shared" si="2"/>
        <v>18100000</v>
      </c>
      <c r="J55" s="13" t="str">
        <f t="shared" si="3"/>
        <v/>
      </c>
      <c r="K55" s="30"/>
    </row>
    <row r="56" spans="1:11" x14ac:dyDescent="0.3">
      <c r="A56" s="6">
        <v>29</v>
      </c>
      <c r="B56" s="59">
        <v>4294300</v>
      </c>
      <c r="C56" s="59">
        <v>0</v>
      </c>
      <c r="D56" s="59">
        <v>6598100</v>
      </c>
      <c r="E56" s="59">
        <v>6733800</v>
      </c>
      <c r="F56" s="59">
        <v>5820200</v>
      </c>
      <c r="G56" s="59">
        <v>6224100</v>
      </c>
      <c r="H56" s="59">
        <v>6733800</v>
      </c>
      <c r="I56" s="60">
        <f t="shared" si="2"/>
        <v>36404300</v>
      </c>
      <c r="J56" s="13" t="str">
        <f t="shared" si="3"/>
        <v/>
      </c>
      <c r="K56" s="31"/>
    </row>
    <row r="57" spans="1:11" x14ac:dyDescent="0.3">
      <c r="A57" s="5">
        <v>30</v>
      </c>
      <c r="B57" s="57"/>
      <c r="C57" s="57"/>
      <c r="D57" s="57"/>
      <c r="E57" s="57"/>
      <c r="F57" s="57"/>
      <c r="G57" s="57"/>
      <c r="H57" s="57"/>
      <c r="I57" s="58">
        <f t="shared" si="2"/>
        <v>0</v>
      </c>
      <c r="J57" s="13">
        <f t="shared" si="3"/>
        <v>0</v>
      </c>
      <c r="K57" s="30"/>
    </row>
    <row r="58" spans="1:11" x14ac:dyDescent="0.3">
      <c r="A58" s="6">
        <v>31</v>
      </c>
      <c r="B58" s="59"/>
      <c r="C58" s="59"/>
      <c r="D58" s="59"/>
      <c r="E58" s="59"/>
      <c r="F58" s="59"/>
      <c r="G58" s="59"/>
      <c r="H58" s="59"/>
      <c r="I58" s="60">
        <f t="shared" si="2"/>
        <v>0</v>
      </c>
      <c r="J58" s="13">
        <f t="shared" si="3"/>
        <v>0</v>
      </c>
      <c r="K58" s="31"/>
    </row>
    <row r="59" spans="1:11" x14ac:dyDescent="0.3">
      <c r="A59" s="5">
        <v>32</v>
      </c>
      <c r="B59" s="57"/>
      <c r="C59" s="57"/>
      <c r="D59" s="57"/>
      <c r="E59" s="57"/>
      <c r="F59" s="57"/>
      <c r="G59" s="57"/>
      <c r="H59" s="57"/>
      <c r="I59" s="58">
        <f t="shared" si="2"/>
        <v>0</v>
      </c>
      <c r="J59" s="13">
        <f t="shared" si="3"/>
        <v>0</v>
      </c>
      <c r="K59" s="30"/>
    </row>
    <row r="60" spans="1:11" x14ac:dyDescent="0.3">
      <c r="A60" s="6">
        <v>33</v>
      </c>
      <c r="B60" s="59"/>
      <c r="C60" s="59"/>
      <c r="D60" s="59"/>
      <c r="E60" s="59"/>
      <c r="F60" s="59"/>
      <c r="G60" s="59"/>
      <c r="H60" s="59"/>
      <c r="I60" s="60">
        <f t="shared" si="2"/>
        <v>0</v>
      </c>
      <c r="J60" s="13">
        <f t="shared" si="3"/>
        <v>0</v>
      </c>
      <c r="K60" s="31"/>
    </row>
    <row r="61" spans="1:11" x14ac:dyDescent="0.3">
      <c r="A61" s="5">
        <v>34</v>
      </c>
      <c r="B61" s="57"/>
      <c r="C61" s="57"/>
      <c r="D61" s="57"/>
      <c r="E61" s="57"/>
      <c r="F61" s="57"/>
      <c r="G61" s="57"/>
      <c r="H61" s="57"/>
      <c r="I61" s="58">
        <f t="shared" si="2"/>
        <v>0</v>
      </c>
      <c r="J61" s="13">
        <f t="shared" si="3"/>
        <v>0</v>
      </c>
      <c r="K61" s="30"/>
    </row>
    <row r="62" spans="1:11" x14ac:dyDescent="0.3">
      <c r="A62" s="6">
        <v>35</v>
      </c>
      <c r="B62" s="59"/>
      <c r="C62" s="59"/>
      <c r="D62" s="59"/>
      <c r="E62" s="59"/>
      <c r="F62" s="59"/>
      <c r="G62" s="59"/>
      <c r="H62" s="59"/>
      <c r="I62" s="60">
        <f t="shared" si="2"/>
        <v>0</v>
      </c>
      <c r="J62" s="13">
        <f t="shared" si="3"/>
        <v>0</v>
      </c>
      <c r="K62" s="31"/>
    </row>
    <row r="63" spans="1:11" x14ac:dyDescent="0.3">
      <c r="A63" s="5">
        <v>36</v>
      </c>
      <c r="B63" s="57"/>
      <c r="C63" s="57"/>
      <c r="D63" s="57"/>
      <c r="E63" s="57"/>
      <c r="F63" s="57"/>
      <c r="G63" s="57"/>
      <c r="H63" s="57"/>
      <c r="I63" s="58">
        <f t="shared" si="2"/>
        <v>0</v>
      </c>
      <c r="J63" s="13">
        <f t="shared" si="3"/>
        <v>0</v>
      </c>
      <c r="K63" s="30"/>
    </row>
    <row r="64" spans="1:11" x14ac:dyDescent="0.3">
      <c r="A64" s="6">
        <v>37</v>
      </c>
      <c r="B64" s="59"/>
      <c r="C64" s="59"/>
      <c r="D64" s="59"/>
      <c r="E64" s="59"/>
      <c r="F64" s="59"/>
      <c r="G64" s="59"/>
      <c r="H64" s="59"/>
      <c r="I64" s="60">
        <f t="shared" si="2"/>
        <v>0</v>
      </c>
      <c r="J64" s="13">
        <f t="shared" si="3"/>
        <v>0</v>
      </c>
      <c r="K64" s="31"/>
    </row>
    <row r="65" spans="1:11" x14ac:dyDescent="0.3">
      <c r="A65" s="5">
        <v>38</v>
      </c>
      <c r="B65" s="57"/>
      <c r="C65" s="57"/>
      <c r="D65" s="57"/>
      <c r="E65" s="57"/>
      <c r="F65" s="57"/>
      <c r="G65" s="57"/>
      <c r="H65" s="57"/>
      <c r="I65" s="58">
        <f t="shared" si="2"/>
        <v>0</v>
      </c>
      <c r="J65" s="13">
        <f t="shared" si="3"/>
        <v>0</v>
      </c>
      <c r="K65" s="30"/>
    </row>
    <row r="66" spans="1:11" x14ac:dyDescent="0.3">
      <c r="A66" s="6">
        <v>39</v>
      </c>
      <c r="B66" s="59"/>
      <c r="C66" s="59"/>
      <c r="D66" s="59"/>
      <c r="E66" s="59"/>
      <c r="F66" s="59"/>
      <c r="G66" s="59"/>
      <c r="H66" s="59"/>
      <c r="I66" s="60">
        <f t="shared" si="2"/>
        <v>0</v>
      </c>
      <c r="J66" s="13">
        <f t="shared" si="3"/>
        <v>0</v>
      </c>
      <c r="K66" s="31"/>
    </row>
    <row r="67" spans="1:11" x14ac:dyDescent="0.3">
      <c r="A67" s="5">
        <v>40</v>
      </c>
      <c r="B67" s="57"/>
      <c r="C67" s="57"/>
      <c r="D67" s="57"/>
      <c r="E67" s="57"/>
      <c r="F67" s="57"/>
      <c r="G67" s="57"/>
      <c r="H67" s="57"/>
      <c r="I67" s="58">
        <f t="shared" si="2"/>
        <v>0</v>
      </c>
      <c r="J67" s="13">
        <f t="shared" si="3"/>
        <v>0</v>
      </c>
      <c r="K67" s="30"/>
    </row>
    <row r="68" spans="1:11" x14ac:dyDescent="0.3">
      <c r="A68" s="6">
        <v>41</v>
      </c>
      <c r="B68" s="59"/>
      <c r="C68" s="59"/>
      <c r="D68" s="59"/>
      <c r="E68" s="59"/>
      <c r="F68" s="59"/>
      <c r="G68" s="59"/>
      <c r="H68" s="59"/>
      <c r="I68" s="60">
        <f t="shared" si="2"/>
        <v>0</v>
      </c>
      <c r="J68" s="13">
        <f t="shared" si="3"/>
        <v>0</v>
      </c>
      <c r="K68" s="31"/>
    </row>
    <row r="69" spans="1:11" x14ac:dyDescent="0.3">
      <c r="A69" s="5">
        <v>42</v>
      </c>
      <c r="B69" s="57"/>
      <c r="C69" s="57"/>
      <c r="D69" s="57"/>
      <c r="E69" s="57"/>
      <c r="F69" s="57"/>
      <c r="G69" s="57"/>
      <c r="H69" s="57"/>
      <c r="I69" s="58">
        <f t="shared" si="2"/>
        <v>0</v>
      </c>
      <c r="J69" s="13">
        <f t="shared" si="3"/>
        <v>0</v>
      </c>
      <c r="K69" s="30"/>
    </row>
    <row r="70" spans="1:11" x14ac:dyDescent="0.3">
      <c r="A70" s="6">
        <v>43</v>
      </c>
      <c r="B70" s="59"/>
      <c r="C70" s="59"/>
      <c r="D70" s="59"/>
      <c r="E70" s="59"/>
      <c r="F70" s="59"/>
      <c r="G70" s="59"/>
      <c r="H70" s="59"/>
      <c r="I70" s="60">
        <f t="shared" si="2"/>
        <v>0</v>
      </c>
      <c r="J70" s="13">
        <f t="shared" si="3"/>
        <v>0</v>
      </c>
      <c r="K70" s="31"/>
    </row>
    <row r="71" spans="1:11" x14ac:dyDescent="0.3">
      <c r="A71" s="5">
        <v>44</v>
      </c>
      <c r="B71" s="57"/>
      <c r="C71" s="57"/>
      <c r="D71" s="57"/>
      <c r="E71" s="57"/>
      <c r="F71" s="57"/>
      <c r="G71" s="57"/>
      <c r="H71" s="57"/>
      <c r="I71" s="58">
        <f t="shared" si="2"/>
        <v>0</v>
      </c>
      <c r="J71" s="13">
        <f t="shared" si="3"/>
        <v>0</v>
      </c>
      <c r="K71" s="30"/>
    </row>
    <row r="72" spans="1:11" x14ac:dyDescent="0.3">
      <c r="A72" s="6">
        <v>45</v>
      </c>
      <c r="B72" s="59"/>
      <c r="C72" s="59"/>
      <c r="D72" s="59"/>
      <c r="E72" s="59"/>
      <c r="F72" s="59"/>
      <c r="G72" s="59"/>
      <c r="H72" s="59"/>
      <c r="I72" s="60">
        <f t="shared" si="2"/>
        <v>0</v>
      </c>
      <c r="J72" s="13">
        <f t="shared" si="3"/>
        <v>0</v>
      </c>
      <c r="K72" s="31"/>
    </row>
    <row r="73" spans="1:11" x14ac:dyDescent="0.3">
      <c r="A73" s="5">
        <v>46</v>
      </c>
      <c r="B73" s="57"/>
      <c r="C73" s="57"/>
      <c r="D73" s="57"/>
      <c r="E73" s="57"/>
      <c r="F73" s="57"/>
      <c r="G73" s="57"/>
      <c r="H73" s="57"/>
      <c r="I73" s="58">
        <f t="shared" si="2"/>
        <v>0</v>
      </c>
      <c r="J73" s="13">
        <f t="shared" si="3"/>
        <v>0</v>
      </c>
      <c r="K73" s="30"/>
    </row>
    <row r="74" spans="1:11" x14ac:dyDescent="0.3">
      <c r="A74" s="6">
        <v>47</v>
      </c>
      <c r="B74" s="59"/>
      <c r="C74" s="59"/>
      <c r="D74" s="59"/>
      <c r="E74" s="59"/>
      <c r="F74" s="59"/>
      <c r="G74" s="59"/>
      <c r="H74" s="59"/>
      <c r="I74" s="60">
        <f t="shared" si="2"/>
        <v>0</v>
      </c>
      <c r="J74" s="13">
        <f t="shared" si="3"/>
        <v>0</v>
      </c>
      <c r="K74" s="31"/>
    </row>
    <row r="75" spans="1:11" x14ac:dyDescent="0.3">
      <c r="A75" s="5">
        <v>48</v>
      </c>
      <c r="B75" s="57"/>
      <c r="C75" s="57"/>
      <c r="D75" s="57"/>
      <c r="E75" s="57"/>
      <c r="F75" s="57"/>
      <c r="G75" s="57"/>
      <c r="H75" s="57"/>
      <c r="I75" s="58">
        <f t="shared" si="2"/>
        <v>0</v>
      </c>
      <c r="J75" s="13">
        <f t="shared" si="3"/>
        <v>0</v>
      </c>
      <c r="K75" s="30"/>
    </row>
    <row r="76" spans="1:11" x14ac:dyDescent="0.3">
      <c r="A76" s="6">
        <v>49</v>
      </c>
      <c r="B76" s="59"/>
      <c r="C76" s="59"/>
      <c r="D76" s="59"/>
      <c r="E76" s="59"/>
      <c r="F76" s="59"/>
      <c r="G76" s="59"/>
      <c r="H76" s="59"/>
      <c r="I76" s="60">
        <f t="shared" si="2"/>
        <v>0</v>
      </c>
      <c r="J76" s="13">
        <f t="shared" si="3"/>
        <v>0</v>
      </c>
      <c r="K76" s="31"/>
    </row>
    <row r="77" spans="1:11" x14ac:dyDescent="0.3">
      <c r="A77" s="5">
        <v>50</v>
      </c>
      <c r="B77" s="57"/>
      <c r="C77" s="57"/>
      <c r="D77" s="57"/>
      <c r="E77" s="57"/>
      <c r="F77" s="57"/>
      <c r="G77" s="57"/>
      <c r="H77" s="57"/>
      <c r="I77" s="58">
        <f t="shared" si="2"/>
        <v>0</v>
      </c>
      <c r="J77" s="13">
        <f t="shared" si="3"/>
        <v>0</v>
      </c>
      <c r="K77" s="30"/>
    </row>
    <row r="78" spans="1:11" x14ac:dyDescent="0.3">
      <c r="A78" s="6">
        <v>51</v>
      </c>
      <c r="B78" s="59"/>
      <c r="C78" s="59"/>
      <c r="D78" s="59"/>
      <c r="E78" s="59"/>
      <c r="F78" s="59"/>
      <c r="G78" s="59"/>
      <c r="H78" s="59"/>
      <c r="I78" s="60">
        <f t="shared" si="2"/>
        <v>0</v>
      </c>
      <c r="J78" s="13">
        <f t="shared" si="3"/>
        <v>0</v>
      </c>
      <c r="K78" s="31"/>
    </row>
    <row r="79" spans="1:11" ht="15" thickBot="1" x14ac:dyDescent="0.35">
      <c r="A79" s="7">
        <v>52</v>
      </c>
      <c r="B79" s="61"/>
      <c r="C79" s="61"/>
      <c r="D79" s="61"/>
      <c r="E79" s="61"/>
      <c r="F79" s="61"/>
      <c r="G79" s="61"/>
      <c r="H79" s="61"/>
      <c r="I79" s="58">
        <f t="shared" si="2"/>
        <v>0</v>
      </c>
      <c r="J79" s="13">
        <f t="shared" si="3"/>
        <v>0</v>
      </c>
      <c r="K79" s="32"/>
    </row>
  </sheetData>
  <sheetProtection sheet="1" objects="1" scenarios="1" selectLockedCells="1"/>
  <mergeCells count="8">
    <mergeCell ref="A26:I26"/>
    <mergeCell ref="A1:B1"/>
    <mergeCell ref="A2:B2"/>
    <mergeCell ref="A5:B5"/>
    <mergeCell ref="A6:B6"/>
    <mergeCell ref="A7:B7"/>
    <mergeCell ref="A8:B8"/>
    <mergeCell ref="A4:B4"/>
  </mergeCells>
  <conditionalFormatting sqref="C6">
    <cfRule type="cellIs" dxfId="75" priority="37" operator="lessThan">
      <formula>$C$7</formula>
    </cfRule>
    <cfRule type="cellIs" dxfId="74" priority="44" operator="greaterThan">
      <formula>$C$7</formula>
    </cfRule>
  </conditionalFormatting>
  <conditionalFormatting sqref="D6">
    <cfRule type="cellIs" dxfId="73" priority="36" operator="lessThan">
      <formula>$D$7</formula>
    </cfRule>
    <cfRule type="cellIs" dxfId="72" priority="43" operator="greaterThan">
      <formula>$D$7</formula>
    </cfRule>
  </conditionalFormatting>
  <conditionalFormatting sqref="E6">
    <cfRule type="cellIs" dxfId="71" priority="35" operator="lessThan">
      <formula>$E$7</formula>
    </cfRule>
    <cfRule type="cellIs" dxfId="70" priority="42" operator="greaterThan">
      <formula>$E$7</formula>
    </cfRule>
  </conditionalFormatting>
  <conditionalFormatting sqref="F6">
    <cfRule type="cellIs" dxfId="69" priority="34" operator="lessThan">
      <formula>$F$7</formula>
    </cfRule>
    <cfRule type="cellIs" dxfId="68" priority="41" operator="greaterThan">
      <formula>$F$7</formula>
    </cfRule>
  </conditionalFormatting>
  <conditionalFormatting sqref="G6">
    <cfRule type="cellIs" dxfId="67" priority="33" operator="lessThan">
      <formula>$G$7</formula>
    </cfRule>
    <cfRule type="cellIs" dxfId="66" priority="40" operator="greaterThan">
      <formula>$G$7</formula>
    </cfRule>
  </conditionalFormatting>
  <conditionalFormatting sqref="H6">
    <cfRule type="cellIs" dxfId="65" priority="32" operator="lessThan">
      <formula>$H$7</formula>
    </cfRule>
    <cfRule type="cellIs" dxfId="64" priority="39" operator="greaterThan">
      <formula>$H$7</formula>
    </cfRule>
  </conditionalFormatting>
  <conditionalFormatting sqref="I6">
    <cfRule type="cellIs" dxfId="63" priority="31" operator="lessThan">
      <formula>$I$7</formula>
    </cfRule>
    <cfRule type="cellIs" dxfId="62" priority="38" operator="greaterThan">
      <formula>$I$7</formula>
    </cfRule>
  </conditionalFormatting>
  <conditionalFormatting sqref="C5">
    <cfRule type="cellIs" dxfId="61" priority="23" operator="lessThan">
      <formula>$C$7</formula>
    </cfRule>
    <cfRule type="cellIs" dxfId="60" priority="30" operator="greaterThan">
      <formula>$C$7</formula>
    </cfRule>
  </conditionalFormatting>
  <conditionalFormatting sqref="D5">
    <cfRule type="cellIs" dxfId="59" priority="22" operator="lessThan">
      <formula>$C$7</formula>
    </cfRule>
    <cfRule type="cellIs" dxfId="58" priority="29" operator="greaterThan">
      <formula>$C$7</formula>
    </cfRule>
  </conditionalFormatting>
  <conditionalFormatting sqref="E5">
    <cfRule type="cellIs" dxfId="57" priority="21" operator="lessThan">
      <formula>$C$7</formula>
    </cfRule>
    <cfRule type="cellIs" dxfId="56" priority="28" operator="greaterThan">
      <formula>$C$7</formula>
    </cfRule>
  </conditionalFormatting>
  <conditionalFormatting sqref="F5">
    <cfRule type="cellIs" dxfId="55" priority="20" operator="lessThan">
      <formula>$C$7</formula>
    </cfRule>
    <cfRule type="cellIs" dxfId="54" priority="27" operator="greaterThan">
      <formula>$C$7</formula>
    </cfRule>
  </conditionalFormatting>
  <conditionalFormatting sqref="G5">
    <cfRule type="cellIs" dxfId="53" priority="19" operator="lessThan">
      <formula>$C$7</formula>
    </cfRule>
    <cfRule type="cellIs" dxfId="52" priority="26" operator="greaterThan">
      <formula>$C$7</formula>
    </cfRule>
  </conditionalFormatting>
  <conditionalFormatting sqref="H5">
    <cfRule type="cellIs" dxfId="51" priority="18" operator="lessThan">
      <formula>$C$7</formula>
    </cfRule>
    <cfRule type="cellIs" dxfId="50" priority="25" operator="greaterThan">
      <formula>$C$7</formula>
    </cfRule>
  </conditionalFormatting>
  <conditionalFormatting sqref="I5">
    <cfRule type="cellIs" dxfId="49" priority="17" operator="lessThan">
      <formula>$C$7</formula>
    </cfRule>
    <cfRule type="cellIs" dxfId="48" priority="24" operator="greaterThan">
      <formula>$C$7</formula>
    </cfRule>
  </conditionalFormatting>
  <conditionalFormatting sqref="C8:I8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H23">
    <cfRule type="cellIs" dxfId="45" priority="11" operator="lessThan">
      <formula>$F$2</formula>
    </cfRule>
  </conditionalFormatting>
  <conditionalFormatting sqref="K23">
    <cfRule type="cellIs" dxfId="44" priority="10" operator="lessThan">
      <formula>$H$2</formula>
    </cfRule>
  </conditionalFormatting>
  <printOptions horizontalCentered="1" verticalCentered="1"/>
  <pageMargins left="0.2" right="0.2" top="0.75" bottom="0.75" header="0.3" footer="0.3"/>
  <pageSetup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8" operator="lessThan" id="{B759A575-4C0E-4020-A8DE-69462F06678C}">
            <xm:f>Settings!$F$7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I28:I79</xm:sqref>
        </x14:conditionalFormatting>
        <x14:conditionalFormatting xmlns:xm="http://schemas.microsoft.com/office/excel/2006/main">
          <x14:cfRule type="expression" priority="9" id="{86C92660-2095-4574-ACA3-DAF7AEA7ABF1}">
            <xm:f>ISNUMBER(MATCH(DAILY!C$4,Settings!$I$5:$I$45,0))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C7:D7 F7:I7</xm:sqref>
        </x14:conditionalFormatting>
        <x14:conditionalFormatting xmlns:xm="http://schemas.microsoft.com/office/excel/2006/main">
          <x14:cfRule type="expression" priority="7" id="{A4E81F15-D98B-46BD-B43B-51BD62859C79}">
            <xm:f>ISNUMBER(MATCH(E$4,Settings!$I$5:$I$45,0))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" id="{C49E62F0-C7C1-4488-9944-F2CC80AF0CE0}">
            <xm:f>$D$2&gt;DAILY!$B$41</xm:f>
            <x14:dxf>
              <font>
                <color rgb="FFC00000"/>
              </font>
              <fill>
                <patternFill>
                  <bgColor rgb="FFFFABAB"/>
                </patternFill>
              </fill>
            </x14:dxf>
          </x14:cfRule>
          <xm:sqref>D2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F2798-2702-43EA-9EA2-932C71E7C255}">
  <sheetPr codeName="Sheet11"/>
  <dimension ref="A1:M55"/>
  <sheetViews>
    <sheetView showGridLines="0" zoomScaleNormal="100" workbookViewId="0">
      <selection activeCell="A29" sqref="A29"/>
    </sheetView>
  </sheetViews>
  <sheetFormatPr defaultColWidth="9.109375" defaultRowHeight="13.2" x14ac:dyDescent="0.25"/>
  <cols>
    <col min="1" max="1" width="9.109375" style="35"/>
    <col min="2" max="11" width="12" style="35" customWidth="1"/>
    <col min="12" max="12" width="5" style="35" customWidth="1"/>
    <col min="13" max="27" width="0" style="35" hidden="1" customWidth="1"/>
    <col min="28" max="16384" width="9.109375" style="35"/>
  </cols>
  <sheetData>
    <row r="1" spans="1:11" ht="15.6" x14ac:dyDescent="0.3">
      <c r="A1" s="84" t="s">
        <v>64</v>
      </c>
      <c r="I1" s="85" t="s">
        <v>63</v>
      </c>
      <c r="J1" s="175">
        <f>SUN!A2</f>
        <v>45837</v>
      </c>
      <c r="K1" s="176"/>
    </row>
    <row r="3" spans="1:11" ht="15.6" x14ac:dyDescent="0.3">
      <c r="A3" s="117" t="s">
        <v>52</v>
      </c>
      <c r="B3" s="118" t="s">
        <v>113</v>
      </c>
      <c r="C3" s="136" t="s">
        <v>60</v>
      </c>
      <c r="D3" s="136" t="s">
        <v>59</v>
      </c>
      <c r="E3" s="136" t="s">
        <v>58</v>
      </c>
      <c r="F3" s="136" t="s">
        <v>57</v>
      </c>
      <c r="G3" s="136" t="s">
        <v>56</v>
      </c>
      <c r="H3" s="136" t="s">
        <v>55</v>
      </c>
      <c r="I3" s="136" t="s">
        <v>54</v>
      </c>
      <c r="J3" s="136" t="s">
        <v>34</v>
      </c>
      <c r="K3" s="120" t="s">
        <v>62</v>
      </c>
    </row>
    <row r="4" spans="1:11" ht="15.6" x14ac:dyDescent="0.3">
      <c r="A4" s="149" t="s">
        <v>61</v>
      </c>
      <c r="B4" s="119" t="s">
        <v>53</v>
      </c>
      <c r="C4" s="123">
        <f>SUN!A2</f>
        <v>45837</v>
      </c>
      <c r="D4" s="123">
        <f>MON!A2</f>
        <v>45838</v>
      </c>
      <c r="E4" s="123">
        <f>TUE!A2</f>
        <v>45839</v>
      </c>
      <c r="F4" s="123">
        <f>WED!A2</f>
        <v>45840</v>
      </c>
      <c r="G4" s="123">
        <f>THUR!A2</f>
        <v>45841</v>
      </c>
      <c r="H4" s="123">
        <f>FRI!A2</f>
        <v>45842</v>
      </c>
      <c r="I4" s="123">
        <f>SAT!A2</f>
        <v>45843</v>
      </c>
      <c r="J4" s="119"/>
      <c r="K4" s="124" t="s">
        <v>53</v>
      </c>
    </row>
    <row r="5" spans="1:11" ht="15.6" x14ac:dyDescent="0.3">
      <c r="A5" s="141" t="s">
        <v>66</v>
      </c>
      <c r="B5" s="142"/>
      <c r="C5" s="98">
        <f>SUN!I5</f>
        <v>0</v>
      </c>
      <c r="D5" s="87">
        <f>MON!I5</f>
        <v>0</v>
      </c>
      <c r="E5" s="87">
        <f>TUE!I5</f>
        <v>0</v>
      </c>
      <c r="F5" s="87">
        <f>WED!I5</f>
        <v>0</v>
      </c>
      <c r="G5" s="87">
        <f>THUR!I5</f>
        <v>0</v>
      </c>
      <c r="H5" s="87">
        <f>FRI!I5</f>
        <v>0</v>
      </c>
      <c r="I5" s="87">
        <f>SAT!I5</f>
        <v>0</v>
      </c>
      <c r="J5" s="87">
        <f t="shared" ref="J5:J15" si="0">SUM(C5:I5)</f>
        <v>0</v>
      </c>
      <c r="K5" s="88">
        <f>B5*(COUNTIF(C5:I5, "&gt;0"))</f>
        <v>0</v>
      </c>
    </row>
    <row r="6" spans="1:11" ht="15.6" x14ac:dyDescent="0.3">
      <c r="A6" s="103" t="s">
        <v>67</v>
      </c>
      <c r="B6" s="112"/>
      <c r="C6" s="99">
        <f>SUN!I6</f>
        <v>0</v>
      </c>
      <c r="D6" s="89">
        <f>MON!I6</f>
        <v>0</v>
      </c>
      <c r="E6" s="89">
        <f>TUE!I6</f>
        <v>0</v>
      </c>
      <c r="F6" s="89">
        <f>WED!I6</f>
        <v>0</v>
      </c>
      <c r="G6" s="89">
        <f>THUR!I6</f>
        <v>0</v>
      </c>
      <c r="H6" s="89">
        <f>FRI!I6</f>
        <v>0</v>
      </c>
      <c r="I6" s="89">
        <f>SAT!I6</f>
        <v>0</v>
      </c>
      <c r="J6" s="89">
        <f t="shared" si="0"/>
        <v>0</v>
      </c>
      <c r="K6" s="88">
        <f t="shared" ref="K6:K16" si="1">B6*(COUNTIF(C6:I6, "&gt;0"))</f>
        <v>0</v>
      </c>
    </row>
    <row r="7" spans="1:11" ht="15.6" x14ac:dyDescent="0.3">
      <c r="A7" s="103" t="s">
        <v>68</v>
      </c>
      <c r="B7" s="112"/>
      <c r="C7" s="99">
        <f>SUN!I7</f>
        <v>0</v>
      </c>
      <c r="D7" s="89">
        <f>MON!I7</f>
        <v>0</v>
      </c>
      <c r="E7" s="89">
        <f>TUE!I7</f>
        <v>0</v>
      </c>
      <c r="F7" s="89">
        <f>WED!I7</f>
        <v>0</v>
      </c>
      <c r="G7" s="89">
        <f>THUR!I7</f>
        <v>0</v>
      </c>
      <c r="H7" s="89">
        <f>FRI!I7</f>
        <v>0</v>
      </c>
      <c r="I7" s="89">
        <f>SAT!I7</f>
        <v>0</v>
      </c>
      <c r="J7" s="89">
        <f t="shared" si="0"/>
        <v>0</v>
      </c>
      <c r="K7" s="88">
        <f t="shared" si="1"/>
        <v>0</v>
      </c>
    </row>
    <row r="8" spans="1:11" ht="15.6" x14ac:dyDescent="0.3">
      <c r="A8" s="103" t="s">
        <v>69</v>
      </c>
      <c r="B8" s="112">
        <v>500000</v>
      </c>
      <c r="C8" s="99">
        <f>SUN!I8</f>
        <v>386400</v>
      </c>
      <c r="D8" s="89">
        <f>MON!I8</f>
        <v>0</v>
      </c>
      <c r="E8" s="89">
        <f>TUE!I8</f>
        <v>386400</v>
      </c>
      <c r="F8" s="89">
        <f>WED!I8</f>
        <v>576300</v>
      </c>
      <c r="G8" s="89">
        <f>THUR!I8</f>
        <v>611900</v>
      </c>
      <c r="H8" s="89">
        <f>FRI!I8</f>
        <v>422800</v>
      </c>
      <c r="I8" s="89">
        <f>SAT!I8</f>
        <v>576300</v>
      </c>
      <c r="J8" s="89">
        <f t="shared" si="0"/>
        <v>2960100</v>
      </c>
      <c r="K8" s="88">
        <f t="shared" si="1"/>
        <v>3000000</v>
      </c>
    </row>
    <row r="9" spans="1:11" ht="15.6" x14ac:dyDescent="0.3">
      <c r="A9" s="103" t="s">
        <v>70</v>
      </c>
      <c r="B9" s="112">
        <v>500000</v>
      </c>
      <c r="C9" s="99">
        <f>SUN!I9</f>
        <v>394000</v>
      </c>
      <c r="D9" s="89">
        <f>MON!I9</f>
        <v>0</v>
      </c>
      <c r="E9" s="89">
        <f>TUE!I9</f>
        <v>394000</v>
      </c>
      <c r="F9" s="89">
        <f>WED!I9</f>
        <v>640000</v>
      </c>
      <c r="G9" s="89">
        <f>THUR!I9</f>
        <v>224000</v>
      </c>
      <c r="H9" s="89">
        <f>FRI!I9</f>
        <v>552000</v>
      </c>
      <c r="I9" s="89">
        <f>SAT!I9</f>
        <v>640000</v>
      </c>
      <c r="J9" s="89">
        <f t="shared" si="0"/>
        <v>2844000</v>
      </c>
      <c r="K9" s="88">
        <f t="shared" si="1"/>
        <v>3000000</v>
      </c>
    </row>
    <row r="10" spans="1:11" ht="15.6" x14ac:dyDescent="0.3">
      <c r="A10" s="103" t="s">
        <v>71</v>
      </c>
      <c r="B10" s="112">
        <v>500000</v>
      </c>
      <c r="C10" s="99">
        <f>SUN!I10</f>
        <v>690000</v>
      </c>
      <c r="D10" s="89">
        <f>MON!I10</f>
        <v>0</v>
      </c>
      <c r="E10" s="89">
        <f>TUE!I10</f>
        <v>690000</v>
      </c>
      <c r="F10" s="89">
        <f>WED!I10</f>
        <v>503700</v>
      </c>
      <c r="G10" s="89">
        <f>THUR!I10</f>
        <v>520800</v>
      </c>
      <c r="H10" s="89">
        <f>FRI!I10</f>
        <v>384100</v>
      </c>
      <c r="I10" s="89">
        <f>SAT!I10</f>
        <v>503700</v>
      </c>
      <c r="J10" s="89">
        <f t="shared" si="0"/>
        <v>3292300</v>
      </c>
      <c r="K10" s="88">
        <f t="shared" si="1"/>
        <v>3000000</v>
      </c>
    </row>
    <row r="11" spans="1:11" ht="15.6" x14ac:dyDescent="0.3">
      <c r="A11" s="103" t="s">
        <v>72</v>
      </c>
      <c r="B11" s="112">
        <v>500000</v>
      </c>
      <c r="C11" s="99">
        <f>SUN!I11</f>
        <v>355800</v>
      </c>
      <c r="D11" s="89">
        <f>MON!I11</f>
        <v>0</v>
      </c>
      <c r="E11" s="89">
        <f>TUE!I11</f>
        <v>355800</v>
      </c>
      <c r="F11" s="89">
        <f>WED!I11</f>
        <v>453600</v>
      </c>
      <c r="G11" s="89">
        <f>THUR!I11</f>
        <v>257400</v>
      </c>
      <c r="H11" s="89">
        <f>FRI!I11</f>
        <v>321600</v>
      </c>
      <c r="I11" s="89">
        <f>SAT!I11</f>
        <v>453600</v>
      </c>
      <c r="J11" s="89">
        <f t="shared" si="0"/>
        <v>2197800</v>
      </c>
      <c r="K11" s="88">
        <f t="shared" si="1"/>
        <v>3000000</v>
      </c>
    </row>
    <row r="12" spans="1:11" ht="15.6" x14ac:dyDescent="0.3">
      <c r="A12" s="103" t="s">
        <v>73</v>
      </c>
      <c r="B12" s="112">
        <v>500000</v>
      </c>
      <c r="C12" s="99">
        <f>SUN!I12</f>
        <v>654300</v>
      </c>
      <c r="D12" s="89">
        <f>MON!I12</f>
        <v>0</v>
      </c>
      <c r="E12" s="89">
        <f>TUE!I12</f>
        <v>654300</v>
      </c>
      <c r="F12" s="89">
        <f>WED!I12</f>
        <v>642000</v>
      </c>
      <c r="G12" s="89">
        <f>THUR!I12</f>
        <v>672000</v>
      </c>
      <c r="H12" s="89">
        <f>FRI!I12</f>
        <v>712500</v>
      </c>
      <c r="I12" s="89">
        <f>SAT!I12</f>
        <v>642000</v>
      </c>
      <c r="J12" s="89">
        <f t="shared" si="0"/>
        <v>3977100</v>
      </c>
      <c r="K12" s="88">
        <f t="shared" si="1"/>
        <v>3000000</v>
      </c>
    </row>
    <row r="13" spans="1:11" ht="15.6" x14ac:dyDescent="0.3">
      <c r="A13" s="103" t="s">
        <v>74</v>
      </c>
      <c r="B13" s="112">
        <v>500000</v>
      </c>
      <c r="C13" s="99">
        <f>SUN!I13</f>
        <v>486800</v>
      </c>
      <c r="D13" s="89">
        <f>MON!I13</f>
        <v>0</v>
      </c>
      <c r="E13" s="89">
        <f>TUE!I13</f>
        <v>486800</v>
      </c>
      <c r="F13" s="89">
        <f>WED!I13</f>
        <v>458200</v>
      </c>
      <c r="G13" s="89">
        <f>THUR!I13</f>
        <v>497700</v>
      </c>
      <c r="H13" s="89">
        <f>FRI!I13</f>
        <v>380800</v>
      </c>
      <c r="I13" s="89">
        <f>SAT!I13</f>
        <v>458200</v>
      </c>
      <c r="J13" s="89">
        <f t="shared" si="0"/>
        <v>2768500</v>
      </c>
      <c r="K13" s="88">
        <f t="shared" si="1"/>
        <v>3000000</v>
      </c>
    </row>
    <row r="14" spans="1:11" ht="15.6" x14ac:dyDescent="0.3">
      <c r="A14" s="103" t="s">
        <v>75</v>
      </c>
      <c r="B14" s="112"/>
      <c r="C14" s="99">
        <f>SUN!I14</f>
        <v>0</v>
      </c>
      <c r="D14" s="89">
        <f>MON!I14</f>
        <v>0</v>
      </c>
      <c r="E14" s="89">
        <f>TUE!I14</f>
        <v>0</v>
      </c>
      <c r="F14" s="89">
        <f>WED!I14</f>
        <v>0</v>
      </c>
      <c r="G14" s="89">
        <f>THUR!I14</f>
        <v>0</v>
      </c>
      <c r="H14" s="89">
        <f>FRI!I14</f>
        <v>0</v>
      </c>
      <c r="I14" s="89">
        <f>SAT!I14</f>
        <v>0</v>
      </c>
      <c r="J14" s="89">
        <f t="shared" si="0"/>
        <v>0</v>
      </c>
      <c r="K14" s="88">
        <f t="shared" si="1"/>
        <v>0</v>
      </c>
    </row>
    <row r="15" spans="1:11" ht="15.6" x14ac:dyDescent="0.3">
      <c r="A15" s="103" t="s">
        <v>96</v>
      </c>
      <c r="B15" s="112"/>
      <c r="C15" s="99">
        <f>SUN!I15</f>
        <v>0</v>
      </c>
      <c r="D15" s="89">
        <f>MON!I15</f>
        <v>0</v>
      </c>
      <c r="E15" s="89">
        <f>TUE!I15</f>
        <v>0</v>
      </c>
      <c r="F15" s="89">
        <f>WED!I15</f>
        <v>0</v>
      </c>
      <c r="G15" s="89">
        <f>THUR!I15</f>
        <v>0</v>
      </c>
      <c r="H15" s="89">
        <f>FRI!I15</f>
        <v>0</v>
      </c>
      <c r="I15" s="89">
        <f>SAT!I15</f>
        <v>0</v>
      </c>
      <c r="J15" s="89">
        <f t="shared" si="0"/>
        <v>0</v>
      </c>
      <c r="K15" s="88">
        <f t="shared" si="1"/>
        <v>0</v>
      </c>
    </row>
    <row r="16" spans="1:11" ht="15.6" x14ac:dyDescent="0.3">
      <c r="A16" s="103" t="s">
        <v>76</v>
      </c>
      <c r="B16" s="112"/>
      <c r="C16" s="99">
        <f>SUN!I16</f>
        <v>0</v>
      </c>
      <c r="D16" s="89">
        <f>MON!I16</f>
        <v>0</v>
      </c>
      <c r="E16" s="89">
        <f>TUE!I16</f>
        <v>0</v>
      </c>
      <c r="F16" s="89">
        <f>WED!I16</f>
        <v>0</v>
      </c>
      <c r="G16" s="89">
        <f>THUR!I16</f>
        <v>0</v>
      </c>
      <c r="H16" s="89">
        <f>FRI!I16</f>
        <v>0</v>
      </c>
      <c r="I16" s="89">
        <f>SAT!I16</f>
        <v>0</v>
      </c>
      <c r="J16" s="89">
        <f>SUM(C16:I16)</f>
        <v>0</v>
      </c>
      <c r="K16" s="88">
        <f t="shared" si="1"/>
        <v>0</v>
      </c>
    </row>
    <row r="17" spans="1:11" ht="15" x14ac:dyDescent="0.25">
      <c r="A17" s="91" t="s">
        <v>34</v>
      </c>
      <c r="B17" s="101">
        <f>SUM(B5:B16)</f>
        <v>3000000</v>
      </c>
      <c r="C17" s="90">
        <f>SUM(C5:C16)</f>
        <v>2967300</v>
      </c>
      <c r="D17" s="90">
        <f t="shared" ref="D17:J17" si="2">SUM(D5:D16)</f>
        <v>0</v>
      </c>
      <c r="E17" s="90">
        <f t="shared" si="2"/>
        <v>2967300</v>
      </c>
      <c r="F17" s="90">
        <f t="shared" si="2"/>
        <v>3273800</v>
      </c>
      <c r="G17" s="90">
        <f t="shared" si="2"/>
        <v>2783800</v>
      </c>
      <c r="H17" s="90">
        <f t="shared" si="2"/>
        <v>2773800</v>
      </c>
      <c r="I17" s="90">
        <f t="shared" si="2"/>
        <v>3273800</v>
      </c>
      <c r="J17" s="90">
        <f t="shared" si="2"/>
        <v>18039800</v>
      </c>
      <c r="K17" s="90">
        <f>SUM(K5:K16)</f>
        <v>18000000</v>
      </c>
    </row>
    <row r="18" spans="1:11" ht="4.95" customHeight="1" x14ac:dyDescent="0.3">
      <c r="A18" s="143"/>
      <c r="B18" s="143"/>
      <c r="C18" s="144"/>
      <c r="D18" s="144"/>
      <c r="E18" s="144"/>
      <c r="F18" s="144"/>
      <c r="G18" s="144"/>
      <c r="H18" s="144"/>
      <c r="I18" s="144"/>
      <c r="J18" s="144"/>
      <c r="K18" s="143"/>
    </row>
    <row r="19" spans="1:11" ht="15.6" x14ac:dyDescent="0.3">
      <c r="A19" s="125" t="s">
        <v>51</v>
      </c>
      <c r="B19" s="118" t="s">
        <v>113</v>
      </c>
      <c r="C19" s="126"/>
      <c r="D19" s="126"/>
      <c r="E19" s="126"/>
      <c r="F19" s="126"/>
      <c r="G19" s="126"/>
      <c r="H19" s="126"/>
      <c r="I19" s="126"/>
      <c r="J19" s="126"/>
      <c r="K19" s="127" t="s">
        <v>62</v>
      </c>
    </row>
    <row r="20" spans="1:11" ht="15.6" x14ac:dyDescent="0.3">
      <c r="A20" s="128" t="s">
        <v>50</v>
      </c>
      <c r="B20" s="122" t="s">
        <v>53</v>
      </c>
      <c r="C20" s="129" t="s">
        <v>60</v>
      </c>
      <c r="D20" s="129" t="s">
        <v>59</v>
      </c>
      <c r="E20" s="129" t="s">
        <v>58</v>
      </c>
      <c r="F20" s="129" t="s">
        <v>57</v>
      </c>
      <c r="G20" s="129" t="s">
        <v>56</v>
      </c>
      <c r="H20" s="129" t="s">
        <v>55</v>
      </c>
      <c r="I20" s="129" t="s">
        <v>54</v>
      </c>
      <c r="J20" s="129" t="s">
        <v>34</v>
      </c>
      <c r="K20" s="130" t="s">
        <v>53</v>
      </c>
    </row>
    <row r="21" spans="1:11" ht="15.6" x14ac:dyDescent="0.3">
      <c r="A21" s="131" t="s">
        <v>49</v>
      </c>
      <c r="B21" s="132"/>
      <c r="C21" s="133">
        <f>SUN!I19</f>
        <v>0</v>
      </c>
      <c r="D21" s="134">
        <f>MON!I19</f>
        <v>0</v>
      </c>
      <c r="E21" s="134">
        <f>TUE!I19</f>
        <v>0</v>
      </c>
      <c r="F21" s="134">
        <f>WED!I19</f>
        <v>0</v>
      </c>
      <c r="G21" s="134">
        <f>THUR!I19</f>
        <v>0</v>
      </c>
      <c r="H21" s="134">
        <f>FRI!I19</f>
        <v>0</v>
      </c>
      <c r="I21" s="134">
        <f>SAT!I19</f>
        <v>0</v>
      </c>
      <c r="J21" s="134">
        <f>SUM(C21:I21)</f>
        <v>0</v>
      </c>
      <c r="K21" s="134">
        <f>B21*(COUNTIF(C21:I21, "&gt;0"))</f>
        <v>0</v>
      </c>
    </row>
    <row r="22" spans="1:11" ht="4.95" customHeight="1" x14ac:dyDescent="0.3">
      <c r="A22" s="143"/>
      <c r="B22" s="143"/>
      <c r="C22" s="144"/>
      <c r="D22" s="144"/>
      <c r="E22" s="144"/>
      <c r="F22" s="144"/>
      <c r="G22" s="144"/>
      <c r="H22" s="144"/>
      <c r="I22" s="144"/>
      <c r="J22" s="144"/>
      <c r="K22" s="143"/>
    </row>
    <row r="23" spans="1:11" ht="15.6" x14ac:dyDescent="0.3">
      <c r="A23" s="135" t="s">
        <v>48</v>
      </c>
      <c r="B23" s="118" t="s">
        <v>113</v>
      </c>
      <c r="C23" s="137"/>
      <c r="D23" s="137"/>
      <c r="E23" s="137"/>
      <c r="F23" s="137"/>
      <c r="G23" s="137"/>
      <c r="H23" s="137"/>
      <c r="I23" s="137"/>
      <c r="J23" s="137"/>
      <c r="K23" s="120" t="s">
        <v>62</v>
      </c>
    </row>
    <row r="24" spans="1:11" ht="15.6" x14ac:dyDescent="0.3">
      <c r="A24" s="138"/>
      <c r="B24" s="122" t="s">
        <v>53</v>
      </c>
      <c r="C24" s="119" t="s">
        <v>60</v>
      </c>
      <c r="D24" s="119" t="s">
        <v>59</v>
      </c>
      <c r="E24" s="119" t="s">
        <v>58</v>
      </c>
      <c r="F24" s="119" t="s">
        <v>57</v>
      </c>
      <c r="G24" s="119" t="s">
        <v>56</v>
      </c>
      <c r="H24" s="119" t="s">
        <v>55</v>
      </c>
      <c r="I24" s="119" t="s">
        <v>54</v>
      </c>
      <c r="J24" s="119" t="s">
        <v>34</v>
      </c>
      <c r="K24" s="124" t="s">
        <v>53</v>
      </c>
    </row>
    <row r="25" spans="1:11" ht="15.6" x14ac:dyDescent="0.3">
      <c r="A25" s="103" t="s">
        <v>77</v>
      </c>
      <c r="B25" s="112">
        <v>800000</v>
      </c>
      <c r="C25" s="99">
        <f>SUN!I21</f>
        <v>616000</v>
      </c>
      <c r="D25" s="89">
        <f>MON!I21</f>
        <v>0</v>
      </c>
      <c r="E25" s="89">
        <f>TUE!I21</f>
        <v>616000</v>
      </c>
      <c r="F25" s="89">
        <f>WED!I21</f>
        <v>500400</v>
      </c>
      <c r="G25" s="89">
        <f>THUR!I21</f>
        <v>734400</v>
      </c>
      <c r="H25" s="89">
        <f>FRI!I21</f>
        <v>646800</v>
      </c>
      <c r="I25" s="89">
        <f>SAT!I21</f>
        <v>500400</v>
      </c>
      <c r="J25" s="89">
        <f>SUM(C25:I25)</f>
        <v>3614000</v>
      </c>
      <c r="K25" s="86">
        <f>B25*(COUNTIF(C25:I25, "&gt;0"))</f>
        <v>4800000</v>
      </c>
    </row>
    <row r="26" spans="1:11" ht="15.6" x14ac:dyDescent="0.3">
      <c r="A26" s="103" t="s">
        <v>78</v>
      </c>
      <c r="B26" s="112">
        <v>800000</v>
      </c>
      <c r="C26" s="99">
        <f>SUN!I22</f>
        <v>1030000</v>
      </c>
      <c r="D26" s="89">
        <f>MON!I22</f>
        <v>0</v>
      </c>
      <c r="E26" s="89">
        <f>TUE!I22</f>
        <v>1030000</v>
      </c>
      <c r="F26" s="89">
        <f>WED!I22</f>
        <v>970000</v>
      </c>
      <c r="G26" s="89">
        <f>THUR!I22</f>
        <v>466000</v>
      </c>
      <c r="H26" s="89">
        <f>FRI!I22</f>
        <v>787500</v>
      </c>
      <c r="I26" s="89">
        <f>SAT!I22</f>
        <v>970000</v>
      </c>
      <c r="J26" s="89">
        <f>SUM(C26:I26)</f>
        <v>5253500</v>
      </c>
      <c r="K26" s="86">
        <f t="shared" ref="K26:K29" si="3">B26*(COUNTIF(C26:I26, "&gt;0"))</f>
        <v>4800000</v>
      </c>
    </row>
    <row r="27" spans="1:11" ht="15.6" x14ac:dyDescent="0.3">
      <c r="A27" s="103" t="s">
        <v>79</v>
      </c>
      <c r="B27" s="112"/>
      <c r="C27" s="99">
        <f>SUN!I23</f>
        <v>0</v>
      </c>
      <c r="D27" s="89">
        <f>MON!I23</f>
        <v>0</v>
      </c>
      <c r="E27" s="89">
        <f>TUE!I23</f>
        <v>0</v>
      </c>
      <c r="F27" s="89">
        <f>WED!I23</f>
        <v>0</v>
      </c>
      <c r="G27" s="89">
        <f>THUR!I23</f>
        <v>0</v>
      </c>
      <c r="H27" s="89">
        <f>FRI!I23</f>
        <v>0</v>
      </c>
      <c r="I27" s="89">
        <f>SAT!I23</f>
        <v>0</v>
      </c>
      <c r="J27" s="89">
        <f>SUM(C27:I27)</f>
        <v>0</v>
      </c>
      <c r="K27" s="86">
        <f t="shared" si="3"/>
        <v>0</v>
      </c>
    </row>
    <row r="28" spans="1:11" ht="15.6" x14ac:dyDescent="0.3">
      <c r="A28" s="103" t="s">
        <v>80</v>
      </c>
      <c r="B28" s="112"/>
      <c r="C28" s="99">
        <f>SUN!I24</f>
        <v>0</v>
      </c>
      <c r="D28" s="89">
        <f>MON!I24</f>
        <v>0</v>
      </c>
      <c r="E28" s="89">
        <f>TUE!I24</f>
        <v>0</v>
      </c>
      <c r="F28" s="89">
        <f>WED!I24</f>
        <v>0</v>
      </c>
      <c r="G28" s="89">
        <f>THUR!I24</f>
        <v>0</v>
      </c>
      <c r="H28" s="89">
        <f>FRI!I24</f>
        <v>0</v>
      </c>
      <c r="I28" s="89">
        <f>SAT!I24</f>
        <v>0</v>
      </c>
      <c r="J28" s="89">
        <f>SUM(C28:I28)</f>
        <v>0</v>
      </c>
      <c r="K28" s="86">
        <f t="shared" si="3"/>
        <v>0</v>
      </c>
    </row>
    <row r="29" spans="1:11" ht="15.6" x14ac:dyDescent="0.3">
      <c r="A29" s="103" t="s">
        <v>81</v>
      </c>
      <c r="B29" s="112"/>
      <c r="C29" s="99">
        <f>SUN!I25</f>
        <v>0</v>
      </c>
      <c r="D29" s="89">
        <f>MON!I25</f>
        <v>0</v>
      </c>
      <c r="E29" s="89">
        <f>TUE!I25</f>
        <v>0</v>
      </c>
      <c r="F29" s="89">
        <f>WED!I25</f>
        <v>0</v>
      </c>
      <c r="G29" s="89">
        <f>THUR!I25</f>
        <v>0</v>
      </c>
      <c r="H29" s="89">
        <f>FRI!I25</f>
        <v>0</v>
      </c>
      <c r="I29" s="89">
        <f>SAT!I25</f>
        <v>0</v>
      </c>
      <c r="J29" s="89">
        <f>SUM(C29:I29)</f>
        <v>0</v>
      </c>
      <c r="K29" s="86">
        <f t="shared" si="3"/>
        <v>0</v>
      </c>
    </row>
    <row r="30" spans="1:11" ht="15" x14ac:dyDescent="0.25">
      <c r="A30" s="91" t="s">
        <v>34</v>
      </c>
      <c r="B30" s="102">
        <f>SUM(B25:B29)</f>
        <v>1600000</v>
      </c>
      <c r="C30" s="92">
        <f t="shared" ref="C30:K30" si="4">SUM(C25:C29)</f>
        <v>1646000</v>
      </c>
      <c r="D30" s="92">
        <f t="shared" si="4"/>
        <v>0</v>
      </c>
      <c r="E30" s="92">
        <f t="shared" si="4"/>
        <v>1646000</v>
      </c>
      <c r="F30" s="92">
        <f t="shared" si="4"/>
        <v>1470400</v>
      </c>
      <c r="G30" s="92">
        <f t="shared" si="4"/>
        <v>1200400</v>
      </c>
      <c r="H30" s="92">
        <f t="shared" si="4"/>
        <v>1434300</v>
      </c>
      <c r="I30" s="92">
        <f t="shared" si="4"/>
        <v>1470400</v>
      </c>
      <c r="J30" s="92">
        <f t="shared" si="4"/>
        <v>8867500</v>
      </c>
      <c r="K30" s="92">
        <f t="shared" si="4"/>
        <v>9600000</v>
      </c>
    </row>
    <row r="31" spans="1:11" ht="4.95" customHeight="1" x14ac:dyDescent="0.3">
      <c r="A31" s="145"/>
      <c r="B31" s="146"/>
      <c r="C31" s="147"/>
      <c r="D31" s="147"/>
      <c r="E31" s="147"/>
      <c r="F31" s="147"/>
      <c r="G31" s="147"/>
      <c r="H31" s="147"/>
      <c r="I31" s="147"/>
      <c r="J31" s="148"/>
      <c r="K31" s="146"/>
    </row>
    <row r="32" spans="1:11" ht="15.6" x14ac:dyDescent="0.3">
      <c r="A32" s="117" t="s">
        <v>47</v>
      </c>
      <c r="B32" s="118" t="s">
        <v>113</v>
      </c>
      <c r="C32" s="137"/>
      <c r="D32" s="137"/>
      <c r="E32" s="137"/>
      <c r="F32" s="137"/>
      <c r="G32" s="137"/>
      <c r="H32" s="137"/>
      <c r="I32" s="137"/>
      <c r="J32" s="137"/>
      <c r="K32" s="120" t="s">
        <v>62</v>
      </c>
    </row>
    <row r="33" spans="1:13" ht="15.6" x14ac:dyDescent="0.3">
      <c r="A33" s="121"/>
      <c r="B33" s="122" t="s">
        <v>53</v>
      </c>
      <c r="C33" s="119" t="s">
        <v>60</v>
      </c>
      <c r="D33" s="119" t="s">
        <v>59</v>
      </c>
      <c r="E33" s="119" t="s">
        <v>58</v>
      </c>
      <c r="F33" s="119" t="s">
        <v>57</v>
      </c>
      <c r="G33" s="119" t="s">
        <v>56</v>
      </c>
      <c r="H33" s="119" t="s">
        <v>55</v>
      </c>
      <c r="I33" s="119" t="s">
        <v>54</v>
      </c>
      <c r="J33" s="119" t="s">
        <v>34</v>
      </c>
      <c r="K33" s="124" t="s">
        <v>53</v>
      </c>
    </row>
    <row r="34" spans="1:13" ht="15.6" x14ac:dyDescent="0.3">
      <c r="A34" s="103" t="s">
        <v>82</v>
      </c>
      <c r="B34" s="112">
        <v>400000</v>
      </c>
      <c r="C34" s="99">
        <f>SUN!I28</f>
        <v>1195200</v>
      </c>
      <c r="D34" s="89">
        <f>MON!I28</f>
        <v>0</v>
      </c>
      <c r="E34" s="89">
        <f>TUE!I28</f>
        <v>1195200</v>
      </c>
      <c r="F34" s="89">
        <f>WED!I28</f>
        <v>1065600</v>
      </c>
      <c r="G34" s="89">
        <f>THUR!I28</f>
        <v>1082400</v>
      </c>
      <c r="H34" s="89">
        <f>FRI!I28</f>
        <v>1144800</v>
      </c>
      <c r="I34" s="89">
        <f>SAT!I28</f>
        <v>1065600</v>
      </c>
      <c r="J34" s="89">
        <f>SUM(C34:I34)</f>
        <v>6748800</v>
      </c>
      <c r="K34" s="88">
        <f>B34*(COUNTIF(C34:I34, "&gt;0"))</f>
        <v>2400000</v>
      </c>
    </row>
    <row r="35" spans="1:13" ht="15.6" x14ac:dyDescent="0.3">
      <c r="A35" s="103" t="s">
        <v>83</v>
      </c>
      <c r="B35" s="112">
        <v>200000</v>
      </c>
      <c r="C35" s="99">
        <f>SUN!I29</f>
        <v>789600</v>
      </c>
      <c r="D35" s="89">
        <f>MON!I29</f>
        <v>0</v>
      </c>
      <c r="E35" s="89">
        <f>TUE!I29</f>
        <v>789600</v>
      </c>
      <c r="F35" s="89">
        <f>WED!I29</f>
        <v>924000</v>
      </c>
      <c r="G35" s="89">
        <f>THUR!I29</f>
        <v>753600</v>
      </c>
      <c r="H35" s="89">
        <f>FRI!I29</f>
        <v>871200</v>
      </c>
      <c r="I35" s="89">
        <f>SAT!I29</f>
        <v>924000</v>
      </c>
      <c r="J35" s="89">
        <f>SUM(C35:I35)</f>
        <v>5052000</v>
      </c>
      <c r="K35" s="88">
        <f>B35*(COUNTIF(C35:I35, "&gt;0"))</f>
        <v>1200000</v>
      </c>
    </row>
    <row r="36" spans="1:13" ht="15.6" x14ac:dyDescent="0.3">
      <c r="A36" s="103" t="s">
        <v>84</v>
      </c>
      <c r="B36" s="112"/>
      <c r="C36" s="99">
        <f>SUN!I30</f>
        <v>0</v>
      </c>
      <c r="D36" s="89">
        <f>MON!I30</f>
        <v>0</v>
      </c>
      <c r="E36" s="89">
        <f>TUE!I30</f>
        <v>0</v>
      </c>
      <c r="F36" s="89">
        <f>WED!I30</f>
        <v>0</v>
      </c>
      <c r="G36" s="89">
        <f>THUR!I30</f>
        <v>0</v>
      </c>
      <c r="H36" s="89">
        <f>FRI!I30</f>
        <v>0</v>
      </c>
      <c r="I36" s="89">
        <f>SAT!I30</f>
        <v>0</v>
      </c>
      <c r="J36" s="89">
        <f>SUM(C36:I36)</f>
        <v>0</v>
      </c>
      <c r="K36" s="88">
        <f>B36*(COUNTIF(C36:I36, "&gt;0"))</f>
        <v>0</v>
      </c>
    </row>
    <row r="37" spans="1:13" ht="15.6" x14ac:dyDescent="0.3">
      <c r="A37" s="103" t="s">
        <v>85</v>
      </c>
      <c r="B37" s="112"/>
      <c r="C37" s="99">
        <f>SUN!I31</f>
        <v>0</v>
      </c>
      <c r="D37" s="89">
        <f>MON!I31</f>
        <v>0</v>
      </c>
      <c r="E37" s="89">
        <f>TUE!I31</f>
        <v>0</v>
      </c>
      <c r="F37" s="89">
        <f>WED!I31</f>
        <v>0</v>
      </c>
      <c r="G37" s="89">
        <f>THUR!I31</f>
        <v>0</v>
      </c>
      <c r="H37" s="89">
        <f>FRI!I31</f>
        <v>0</v>
      </c>
      <c r="I37" s="89">
        <f>SAT!I31</f>
        <v>0</v>
      </c>
      <c r="J37" s="89">
        <f>SUM(C37:I37)</f>
        <v>0</v>
      </c>
      <c r="K37" s="88">
        <f>B37*(COUNTIF(C37:I37, "&gt;0"))</f>
        <v>0</v>
      </c>
    </row>
    <row r="38" spans="1:13" ht="15.6" x14ac:dyDescent="0.3">
      <c r="A38" s="103" t="s">
        <v>86</v>
      </c>
      <c r="B38" s="112"/>
      <c r="C38" s="100">
        <f>SUN!I32</f>
        <v>0</v>
      </c>
      <c r="D38" s="93">
        <f>MON!I32</f>
        <v>0</v>
      </c>
      <c r="E38" s="93">
        <f>TUE!I32</f>
        <v>0</v>
      </c>
      <c r="F38" s="93">
        <f>WED!I32</f>
        <v>0</v>
      </c>
      <c r="G38" s="93">
        <f>THUR!I32</f>
        <v>0</v>
      </c>
      <c r="H38" s="93">
        <f>FRI!I32</f>
        <v>0</v>
      </c>
      <c r="I38" s="93">
        <f>SAT!I32</f>
        <v>0</v>
      </c>
      <c r="J38" s="93">
        <f>SUM(C38:I38)</f>
        <v>0</v>
      </c>
      <c r="K38" s="94">
        <f>B38*(COUNTIF(C38:I38, "&gt;0"))</f>
        <v>0</v>
      </c>
    </row>
    <row r="39" spans="1:13" ht="15" x14ac:dyDescent="0.25">
      <c r="A39" s="91" t="s">
        <v>34</v>
      </c>
      <c r="B39" s="101">
        <f>SUM(B34:B38)</f>
        <v>600000</v>
      </c>
      <c r="C39" s="90">
        <f>SUM(C34:C38)</f>
        <v>1984800</v>
      </c>
      <c r="D39" s="90">
        <f t="shared" ref="D39:I39" si="5">SUM(D34:D38)</f>
        <v>0</v>
      </c>
      <c r="E39" s="90">
        <f t="shared" si="5"/>
        <v>1984800</v>
      </c>
      <c r="F39" s="90">
        <f t="shared" si="5"/>
        <v>1989600</v>
      </c>
      <c r="G39" s="90">
        <f t="shared" si="5"/>
        <v>1836000</v>
      </c>
      <c r="H39" s="90">
        <f t="shared" si="5"/>
        <v>2016000</v>
      </c>
      <c r="I39" s="90">
        <f t="shared" si="5"/>
        <v>1989600</v>
      </c>
      <c r="J39" s="90">
        <f>SUM(J34:J38)</f>
        <v>11800800</v>
      </c>
      <c r="K39" s="90">
        <f>SUM(K34:K38)</f>
        <v>3600000</v>
      </c>
    </row>
    <row r="40" spans="1:13" ht="4.95" customHeight="1" x14ac:dyDescent="0.3">
      <c r="A40" s="84"/>
      <c r="B40" s="95"/>
      <c r="C40" s="96"/>
      <c r="D40" s="96"/>
      <c r="E40" s="96"/>
      <c r="F40" s="96"/>
      <c r="G40" s="96"/>
      <c r="H40" s="96"/>
      <c r="I40" s="96"/>
      <c r="J40" s="96"/>
      <c r="K40" s="95"/>
    </row>
    <row r="41" spans="1:13" ht="15.6" x14ac:dyDescent="0.3">
      <c r="A41" s="139" t="s">
        <v>34</v>
      </c>
      <c r="B41" s="140">
        <f t="shared" ref="B41:I41" si="6">B17+B21+B30+B39</f>
        <v>5200000</v>
      </c>
      <c r="C41" s="140">
        <f t="shared" si="6"/>
        <v>6598100</v>
      </c>
      <c r="D41" s="140">
        <f t="shared" si="6"/>
        <v>0</v>
      </c>
      <c r="E41" s="140">
        <f t="shared" si="6"/>
        <v>6598100</v>
      </c>
      <c r="F41" s="140">
        <f t="shared" si="6"/>
        <v>6733800</v>
      </c>
      <c r="G41" s="140">
        <f t="shared" si="6"/>
        <v>5820200</v>
      </c>
      <c r="H41" s="140">
        <f t="shared" si="6"/>
        <v>6224100</v>
      </c>
      <c r="I41" s="140">
        <f t="shared" si="6"/>
        <v>6733800</v>
      </c>
      <c r="J41" s="140">
        <f>SUM(C41:I41)</f>
        <v>38708100</v>
      </c>
      <c r="K41" s="140" cm="1">
        <f t="array" ref="K41">SUM(_xlfn._xlws.FILTER(_xlfn.VSTACK(K5:K16,K21,K25:K29,K34:K38),_xlfn.VSTACK(K5:K16,K21,K25:K29,K34:K38)&gt;0))</f>
        <v>31200000</v>
      </c>
    </row>
    <row r="42" spans="1:13" ht="13.5" customHeight="1" x14ac:dyDescent="0.25">
      <c r="I42" s="178" t="s">
        <v>92</v>
      </c>
      <c r="J42" s="178"/>
      <c r="K42" s="178"/>
      <c r="M42" s="97" t="s">
        <v>90</v>
      </c>
    </row>
    <row r="43" spans="1:13" ht="13.2" customHeight="1" x14ac:dyDescent="0.25">
      <c r="A43" s="177">
        <f>J17+J21+J30+J39</f>
        <v>38708100</v>
      </c>
      <c r="B43" s="177"/>
      <c r="C43" s="177"/>
      <c r="D43" s="177"/>
      <c r="E43" s="177"/>
      <c r="F43" s="177"/>
      <c r="G43" s="177"/>
      <c r="H43" s="177"/>
      <c r="I43" s="177"/>
      <c r="J43" s="177"/>
      <c r="K43" s="177"/>
    </row>
    <row r="44" spans="1:13" ht="13.2" customHeight="1" x14ac:dyDescent="0.25">
      <c r="A44" s="177"/>
      <c r="B44" s="177"/>
      <c r="C44" s="177"/>
      <c r="D44" s="177"/>
      <c r="E44" s="177"/>
      <c r="F44" s="177"/>
      <c r="G44" s="177"/>
      <c r="H44" s="177"/>
      <c r="I44" s="177"/>
      <c r="J44" s="177"/>
      <c r="K44" s="177"/>
    </row>
    <row r="45" spans="1:13" ht="13.2" customHeight="1" x14ac:dyDescent="0.25">
      <c r="A45" s="177"/>
      <c r="B45" s="177"/>
      <c r="C45" s="177"/>
      <c r="D45" s="177"/>
      <c r="E45" s="177"/>
      <c r="F45" s="177"/>
      <c r="G45" s="177"/>
      <c r="H45" s="177"/>
      <c r="I45" s="177"/>
      <c r="J45" s="177"/>
      <c r="K45" s="177"/>
    </row>
    <row r="46" spans="1:13" ht="13.2" customHeight="1" x14ac:dyDescent="0.25">
      <c r="A46" s="177"/>
      <c r="B46" s="177"/>
      <c r="C46" s="177"/>
      <c r="D46" s="177"/>
      <c r="E46" s="177"/>
      <c r="F46" s="177"/>
      <c r="G46" s="177"/>
      <c r="H46" s="177"/>
      <c r="I46" s="177"/>
      <c r="J46" s="177"/>
      <c r="K46" s="177"/>
    </row>
    <row r="48" spans="1:13" x14ac:dyDescent="0.25">
      <c r="B48" s="35" t="s">
        <v>108</v>
      </c>
    </row>
    <row r="49" spans="2:13" x14ac:dyDescent="0.25">
      <c r="B49" s="35" t="s">
        <v>109</v>
      </c>
    </row>
    <row r="54" spans="2:13" x14ac:dyDescent="0.25">
      <c r="M54" s="80" t="s">
        <v>91</v>
      </c>
    </row>
    <row r="55" spans="2:13" x14ac:dyDescent="0.25">
      <c r="M55" s="104" t="s">
        <v>101</v>
      </c>
    </row>
  </sheetData>
  <sheetProtection sheet="1" selectLockedCells="1"/>
  <mergeCells count="3">
    <mergeCell ref="J1:K1"/>
    <mergeCell ref="A43:K46"/>
    <mergeCell ref="I42:K42"/>
  </mergeCells>
  <conditionalFormatting sqref="J5">
    <cfRule type="cellIs" dxfId="39" priority="42" operator="lessThan">
      <formula>$K$5</formula>
    </cfRule>
  </conditionalFormatting>
  <conditionalFormatting sqref="J6">
    <cfRule type="cellIs" dxfId="38" priority="41" operator="lessThan">
      <formula>$K$6</formula>
    </cfRule>
  </conditionalFormatting>
  <conditionalFormatting sqref="J7">
    <cfRule type="cellIs" dxfId="37" priority="40" operator="lessThan">
      <formula>$K$7</formula>
    </cfRule>
  </conditionalFormatting>
  <conditionalFormatting sqref="J8">
    <cfRule type="cellIs" dxfId="36" priority="39" operator="lessThan">
      <formula>$K$8</formula>
    </cfRule>
  </conditionalFormatting>
  <conditionalFormatting sqref="J9">
    <cfRule type="cellIs" dxfId="35" priority="38" operator="lessThan">
      <formula>$K$8</formula>
    </cfRule>
  </conditionalFormatting>
  <conditionalFormatting sqref="J10">
    <cfRule type="cellIs" dxfId="34" priority="37" operator="lessThan">
      <formula>$K$10</formula>
    </cfRule>
  </conditionalFormatting>
  <conditionalFormatting sqref="J11">
    <cfRule type="cellIs" dxfId="33" priority="36" operator="lessThan">
      <formula>$K$11</formula>
    </cfRule>
  </conditionalFormatting>
  <conditionalFormatting sqref="J12">
    <cfRule type="cellIs" dxfId="32" priority="35" operator="lessThan">
      <formula>$K$12</formula>
    </cfRule>
  </conditionalFormatting>
  <conditionalFormatting sqref="J13">
    <cfRule type="cellIs" dxfId="31" priority="33" operator="lessThan">
      <formula>$K$13</formula>
    </cfRule>
    <cfRule type="cellIs" dxfId="30" priority="34" operator="lessThan">
      <formula>$K$13</formula>
    </cfRule>
  </conditionalFormatting>
  <conditionalFormatting sqref="J14">
    <cfRule type="cellIs" dxfId="29" priority="32" operator="lessThan">
      <formula>$K$14</formula>
    </cfRule>
  </conditionalFormatting>
  <conditionalFormatting sqref="J15">
    <cfRule type="cellIs" dxfId="28" priority="31" operator="lessThan">
      <formula>$K$15</formula>
    </cfRule>
  </conditionalFormatting>
  <conditionalFormatting sqref="J16">
    <cfRule type="cellIs" dxfId="27" priority="30" operator="lessThan">
      <formula>$K$16</formula>
    </cfRule>
  </conditionalFormatting>
  <conditionalFormatting sqref="J17">
    <cfRule type="cellIs" dxfId="26" priority="29" operator="lessThan">
      <formula>$K$17</formula>
    </cfRule>
  </conditionalFormatting>
  <conditionalFormatting sqref="J21">
    <cfRule type="cellIs" dxfId="25" priority="27" operator="lessThan">
      <formula>$K$21</formula>
    </cfRule>
  </conditionalFormatting>
  <conditionalFormatting sqref="J25">
    <cfRule type="cellIs" dxfId="24" priority="26" operator="lessThan">
      <formula>$K$25</formula>
    </cfRule>
  </conditionalFormatting>
  <conditionalFormatting sqref="J26">
    <cfRule type="cellIs" dxfId="23" priority="25" operator="lessThan">
      <formula>$K$26</formula>
    </cfRule>
  </conditionalFormatting>
  <conditionalFormatting sqref="J27">
    <cfRule type="cellIs" dxfId="22" priority="24" operator="lessThan">
      <formula>$K$27</formula>
    </cfRule>
  </conditionalFormatting>
  <conditionalFormatting sqref="J28">
    <cfRule type="cellIs" dxfId="21" priority="23" operator="lessThan">
      <formula>$K$28</formula>
    </cfRule>
  </conditionalFormatting>
  <conditionalFormatting sqref="J29">
    <cfRule type="cellIs" dxfId="20" priority="22" operator="lessThan">
      <formula>$K$29</formula>
    </cfRule>
  </conditionalFormatting>
  <conditionalFormatting sqref="J30">
    <cfRule type="cellIs" dxfId="19" priority="21" operator="lessThan">
      <formula>$K$30</formula>
    </cfRule>
  </conditionalFormatting>
  <conditionalFormatting sqref="J34">
    <cfRule type="cellIs" dxfId="18" priority="20" operator="lessThan">
      <formula>$K$34</formula>
    </cfRule>
  </conditionalFormatting>
  <conditionalFormatting sqref="J35">
    <cfRule type="cellIs" dxfId="17" priority="19" operator="lessThan">
      <formula>$K$35</formula>
    </cfRule>
  </conditionalFormatting>
  <conditionalFormatting sqref="J36">
    <cfRule type="cellIs" dxfId="16" priority="18" operator="lessThan">
      <formula>$K$36</formula>
    </cfRule>
  </conditionalFormatting>
  <conditionalFormatting sqref="J37">
    <cfRule type="cellIs" dxfId="15" priority="17" operator="lessThan">
      <formula>$K$37</formula>
    </cfRule>
  </conditionalFormatting>
  <conditionalFormatting sqref="J38">
    <cfRule type="cellIs" dxfId="14" priority="16" operator="lessThan">
      <formula>$K$38</formula>
    </cfRule>
  </conditionalFormatting>
  <conditionalFormatting sqref="J39">
    <cfRule type="cellIs" dxfId="13" priority="15" operator="lessThan">
      <formula>$K$39</formula>
    </cfRule>
  </conditionalFormatting>
  <conditionalFormatting sqref="B5:B16">
    <cfRule type="expression" dxfId="12" priority="11">
      <formula>AND(J5=0, B5&gt;0)</formula>
    </cfRule>
  </conditionalFormatting>
  <conditionalFormatting sqref="B25:B29">
    <cfRule type="expression" dxfId="11" priority="10">
      <formula>AND(J25=0, B25&gt;0)</formula>
    </cfRule>
  </conditionalFormatting>
  <conditionalFormatting sqref="B34:B38">
    <cfRule type="expression" dxfId="10" priority="9">
      <formula>AND(J34=0, B34&gt;0)</formula>
    </cfRule>
  </conditionalFormatting>
  <conditionalFormatting sqref="B21">
    <cfRule type="expression" dxfId="9" priority="1">
      <formula>AND(J21=0, B21&gt;0)</formula>
    </cfRule>
  </conditionalFormatting>
  <pageMargins left="0.7" right="0.7" top="0.75" bottom="0.75" header="0.3" footer="0.3"/>
  <pageSetup scale="9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BA1CC80-2CC9-42C1-94C4-46A6F6F108A5}">
            <xm:f>ISNUMBER(MATCH(C$4,Settings!$I$5:$I$45,0))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C5:C16 C25:C29 C34:C38</xm:sqref>
        </x14:conditionalFormatting>
        <x14:conditionalFormatting xmlns:xm="http://schemas.microsoft.com/office/excel/2006/main">
          <x14:cfRule type="expression" priority="7" id="{4C47ADDC-0EB0-4699-B266-57548A6529B3}">
            <xm:f>ISNUMBER(MATCH(D$4,Settings!$I$5:$I$45,0))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D5:D16 D25:D29 D34:D38</xm:sqref>
        </x14:conditionalFormatting>
        <x14:conditionalFormatting xmlns:xm="http://schemas.microsoft.com/office/excel/2006/main">
          <x14:cfRule type="expression" priority="6" id="{61F13F4D-F705-4D7E-B472-26173BE0F65C}">
            <xm:f>ISNUMBER(MATCH(E$4,Settings!$I$5:$I$45,0))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E5:E16 E34:E38 E25:E29</xm:sqref>
        </x14:conditionalFormatting>
        <x14:conditionalFormatting xmlns:xm="http://schemas.microsoft.com/office/excel/2006/main">
          <x14:cfRule type="expression" priority="5" id="{BD408914-D27D-43B8-A732-6DB8263E0CFC}">
            <xm:f>ISNUMBER(MATCH(F$4,Settings!$I$5:$I$45,0))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F5:F16 F25:F29 F34:F38</xm:sqref>
        </x14:conditionalFormatting>
        <x14:conditionalFormatting xmlns:xm="http://schemas.microsoft.com/office/excel/2006/main">
          <x14:cfRule type="expression" priority="4" id="{19ADCE9A-B1D2-4EAA-B6AC-FC114CC5E9EB}">
            <xm:f>ISNUMBER(MATCH(G$4,Settings!$I$5:$I$45,0))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G5:G16 G25:G29 G34:G38</xm:sqref>
        </x14:conditionalFormatting>
        <x14:conditionalFormatting xmlns:xm="http://schemas.microsoft.com/office/excel/2006/main">
          <x14:cfRule type="expression" priority="3" id="{C21F33AD-9AB1-46B0-9A1B-2E3ED5F5EC72}">
            <xm:f>ISNUMBER(MATCH(H$4,Settings!$I$5:$I$45,0))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H5:H16 H25:H29 H34:H38</xm:sqref>
        </x14:conditionalFormatting>
        <x14:conditionalFormatting xmlns:xm="http://schemas.microsoft.com/office/excel/2006/main">
          <x14:cfRule type="expression" priority="2" id="{543A6E47-61F7-4EA4-AD96-7A08B8B6919B}">
            <xm:f>ISNUMBER(MATCH(I$4,Settings!$I$5:$I$45,0))</xm:f>
            <x14:dxf>
              <font>
                <color theme="5" tint="-0.24994659260841701"/>
              </font>
              <fill>
                <patternFill>
                  <bgColor rgb="FFDEC8EE"/>
                </patternFill>
              </fill>
            </x14:dxf>
          </x14:cfRule>
          <xm:sqref>I5:I16 I25:I29 I34:I38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57174-F21A-4779-8B02-DE7CEDE5F6D5}">
  <sheetPr codeName="Sheet4"/>
  <dimension ref="A1:X46"/>
  <sheetViews>
    <sheetView showGridLines="0" zoomScaleNormal="100" workbookViewId="0">
      <selection activeCell="F29" sqref="F29"/>
    </sheetView>
  </sheetViews>
  <sheetFormatPr defaultColWidth="9.109375" defaultRowHeight="13.2" x14ac:dyDescent="0.25"/>
  <cols>
    <col min="1" max="1" width="13.6640625" style="35" customWidth="1"/>
    <col min="2" max="8" width="15" style="35" customWidth="1"/>
    <col min="9" max="9" width="16.33203125" style="35" customWidth="1"/>
    <col min="10" max="22" width="9.109375" style="35" hidden="1" customWidth="1"/>
    <col min="23" max="23" width="16.109375" style="35" hidden="1" customWidth="1"/>
    <col min="24" max="24" width="9.109375" style="35" hidden="1" customWidth="1"/>
    <col min="25" max="16384" width="9.109375" style="35"/>
  </cols>
  <sheetData>
    <row r="1" spans="1:23" ht="4.8" customHeight="1" x14ac:dyDescent="0.3">
      <c r="A1" s="180"/>
      <c r="B1" s="180"/>
      <c r="C1" s="180"/>
      <c r="D1" s="180"/>
      <c r="E1" s="180"/>
      <c r="F1" s="180"/>
      <c r="G1" s="180"/>
      <c r="H1" s="40"/>
      <c r="I1" s="4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</row>
    <row r="2" spans="1:23" ht="15.6" x14ac:dyDescent="0.3">
      <c r="A2" s="181">
        <v>45837</v>
      </c>
      <c r="B2" s="181"/>
      <c r="C2" s="181"/>
      <c r="D2" s="181"/>
      <c r="E2" s="181"/>
      <c r="F2" s="181"/>
      <c r="G2" s="181"/>
      <c r="H2" s="181"/>
      <c r="I2" s="181"/>
      <c r="J2" s="181">
        <v>45837</v>
      </c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23" ht="15.6" x14ac:dyDescent="0.3">
      <c r="A3" s="180" t="s">
        <v>46</v>
      </c>
      <c r="B3" s="180"/>
      <c r="C3" s="180"/>
      <c r="D3" s="180"/>
      <c r="E3" s="180"/>
      <c r="F3" s="180"/>
      <c r="G3" s="180"/>
      <c r="H3" s="180"/>
      <c r="I3" s="180"/>
      <c r="J3" s="180" t="s">
        <v>46</v>
      </c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</row>
    <row r="4" spans="1:23" ht="18.600000000000001" customHeight="1" x14ac:dyDescent="0.3">
      <c r="A4" s="36" t="s">
        <v>45</v>
      </c>
      <c r="B4" s="39" t="s">
        <v>44</v>
      </c>
      <c r="C4" s="39" t="s">
        <v>43</v>
      </c>
      <c r="D4" s="39" t="s">
        <v>42</v>
      </c>
      <c r="E4" s="39" t="s">
        <v>41</v>
      </c>
      <c r="F4" s="38" t="s">
        <v>40</v>
      </c>
      <c r="G4" s="38" t="s">
        <v>39</v>
      </c>
      <c r="H4" s="37" t="s">
        <v>38</v>
      </c>
      <c r="I4" s="36"/>
    </row>
    <row r="5" spans="1:23" ht="18.600000000000001" customHeight="1" x14ac:dyDescent="0.25">
      <c r="A5" s="67" t="str">
        <f>DAILY!A5</f>
        <v>527 1</v>
      </c>
      <c r="B5" s="68"/>
      <c r="C5" s="68"/>
      <c r="D5" s="68"/>
      <c r="E5" s="68"/>
      <c r="F5" s="68"/>
      <c r="G5" s="68"/>
      <c r="H5" s="68"/>
      <c r="I5" s="69">
        <f t="shared" ref="I5:I16" si="0">SUM(B5:H5)</f>
        <v>0</v>
      </c>
    </row>
    <row r="6" spans="1:23" ht="18.600000000000001" customHeight="1" x14ac:dyDescent="0.25">
      <c r="A6" s="67" t="str">
        <f>DAILY!A6</f>
        <v>527 2</v>
      </c>
      <c r="B6" s="68"/>
      <c r="C6" s="68"/>
      <c r="D6" s="68"/>
      <c r="E6" s="68"/>
      <c r="F6" s="68"/>
      <c r="G6" s="68"/>
      <c r="H6" s="68"/>
      <c r="I6" s="69">
        <f t="shared" si="0"/>
        <v>0</v>
      </c>
    </row>
    <row r="7" spans="1:23" ht="18.600000000000001" customHeight="1" x14ac:dyDescent="0.25">
      <c r="A7" s="67" t="str">
        <f>DAILY!A7</f>
        <v>527 3</v>
      </c>
      <c r="B7" s="68"/>
      <c r="C7" s="68"/>
      <c r="D7" s="68"/>
      <c r="E7" s="68"/>
      <c r="F7" s="68"/>
      <c r="G7" s="68"/>
      <c r="H7" s="68"/>
      <c r="I7" s="69">
        <f t="shared" si="0"/>
        <v>0</v>
      </c>
    </row>
    <row r="8" spans="1:23" ht="18.600000000000001" customHeight="1" x14ac:dyDescent="0.25">
      <c r="A8" s="67" t="str">
        <f>DAILY!A8</f>
        <v>527 4</v>
      </c>
      <c r="B8" s="68"/>
      <c r="C8" s="68"/>
      <c r="D8" s="68"/>
      <c r="E8" s="68"/>
      <c r="F8" s="68"/>
      <c r="G8" s="68">
        <v>120400</v>
      </c>
      <c r="H8" s="68">
        <v>266000</v>
      </c>
      <c r="I8" s="69">
        <f t="shared" si="0"/>
        <v>386400</v>
      </c>
    </row>
    <row r="9" spans="1:23" ht="18.600000000000001" customHeight="1" x14ac:dyDescent="0.25">
      <c r="A9" s="67" t="str">
        <f>DAILY!A9</f>
        <v>527 5</v>
      </c>
      <c r="B9" s="68"/>
      <c r="C9" s="68">
        <v>228000</v>
      </c>
      <c r="D9" s="68"/>
      <c r="E9" s="68">
        <v>166000</v>
      </c>
      <c r="F9" s="68"/>
      <c r="G9" s="68"/>
      <c r="H9" s="68"/>
      <c r="I9" s="69">
        <f t="shared" si="0"/>
        <v>394000</v>
      </c>
    </row>
    <row r="10" spans="1:23" ht="18.600000000000001" customHeight="1" x14ac:dyDescent="0.25">
      <c r="A10" s="67" t="str">
        <f>DAILY!A10</f>
        <v>527 6</v>
      </c>
      <c r="B10" s="68"/>
      <c r="C10" s="68">
        <v>333500</v>
      </c>
      <c r="D10" s="68"/>
      <c r="E10" s="68">
        <v>356500</v>
      </c>
      <c r="F10" s="68"/>
      <c r="G10" s="68"/>
      <c r="H10" s="68"/>
      <c r="I10" s="69">
        <f t="shared" si="0"/>
        <v>690000</v>
      </c>
    </row>
    <row r="11" spans="1:23" ht="18.600000000000001" customHeight="1" x14ac:dyDescent="0.25">
      <c r="A11" s="67" t="str">
        <f>DAILY!A11</f>
        <v>527 7</v>
      </c>
      <c r="B11" s="68"/>
      <c r="C11" s="68">
        <v>175200</v>
      </c>
      <c r="D11" s="68"/>
      <c r="E11" s="68">
        <v>180600</v>
      </c>
      <c r="F11" s="68"/>
      <c r="G11" s="68"/>
      <c r="H11" s="68"/>
      <c r="I11" s="69">
        <f t="shared" si="0"/>
        <v>355800</v>
      </c>
    </row>
    <row r="12" spans="1:23" ht="18.600000000000001" customHeight="1" x14ac:dyDescent="0.25">
      <c r="A12" s="67" t="str">
        <f>DAILY!A12</f>
        <v>527 8</v>
      </c>
      <c r="B12" s="68"/>
      <c r="C12" s="68"/>
      <c r="D12" s="68"/>
      <c r="E12" s="68"/>
      <c r="F12" s="68">
        <v>211300</v>
      </c>
      <c r="G12" s="68">
        <v>198000</v>
      </c>
      <c r="H12" s="68">
        <v>245000</v>
      </c>
      <c r="I12" s="69">
        <f t="shared" si="0"/>
        <v>654300</v>
      </c>
    </row>
    <row r="13" spans="1:23" ht="18.600000000000001" customHeight="1" x14ac:dyDescent="0.25">
      <c r="A13" s="67" t="str">
        <f>DAILY!A13</f>
        <v>527 9</v>
      </c>
      <c r="B13" s="68"/>
      <c r="C13" s="68"/>
      <c r="D13" s="68"/>
      <c r="E13" s="68"/>
      <c r="F13" s="68">
        <v>159200</v>
      </c>
      <c r="G13" s="68">
        <v>156800</v>
      </c>
      <c r="H13" s="68">
        <v>170800</v>
      </c>
      <c r="I13" s="69">
        <f t="shared" si="0"/>
        <v>486800</v>
      </c>
    </row>
    <row r="14" spans="1:23" ht="18.600000000000001" customHeight="1" x14ac:dyDescent="0.25">
      <c r="A14" s="67" t="str">
        <f>DAILY!A14</f>
        <v>527 10</v>
      </c>
      <c r="B14" s="68"/>
      <c r="C14" s="68"/>
      <c r="D14" s="68"/>
      <c r="E14" s="68"/>
      <c r="F14" s="68"/>
      <c r="G14" s="68"/>
      <c r="H14" s="68"/>
      <c r="I14" s="69">
        <f t="shared" si="0"/>
        <v>0</v>
      </c>
    </row>
    <row r="15" spans="1:23" ht="18.600000000000001" customHeight="1" x14ac:dyDescent="0.25">
      <c r="A15" s="67" t="str">
        <f>DAILY!A15</f>
        <v>Cheetah</v>
      </c>
      <c r="B15" s="68"/>
      <c r="C15" s="68"/>
      <c r="D15" s="68"/>
      <c r="E15" s="68"/>
      <c r="F15" s="68"/>
      <c r="G15" s="68"/>
      <c r="H15" s="68"/>
      <c r="I15" s="69">
        <f t="shared" si="0"/>
        <v>0</v>
      </c>
    </row>
    <row r="16" spans="1:23" ht="18.600000000000001" customHeight="1" x14ac:dyDescent="0.25">
      <c r="A16" s="67" t="str">
        <f>DAILY!A16</f>
        <v>527 12</v>
      </c>
      <c r="B16" s="68"/>
      <c r="C16" s="68"/>
      <c r="D16" s="68"/>
      <c r="E16" s="68"/>
      <c r="F16" s="68"/>
      <c r="G16" s="68"/>
      <c r="H16" s="68"/>
      <c r="I16" s="69">
        <f t="shared" si="0"/>
        <v>0</v>
      </c>
    </row>
    <row r="17" spans="1:9" ht="18.600000000000001" customHeight="1" x14ac:dyDescent="0.3">
      <c r="A17" s="70" t="s">
        <v>37</v>
      </c>
      <c r="B17" s="71">
        <f t="shared" ref="B17:H17" si="1">SUM(B5:B16)</f>
        <v>0</v>
      </c>
      <c r="C17" s="71">
        <f t="shared" si="1"/>
        <v>736700</v>
      </c>
      <c r="D17" s="71">
        <f t="shared" si="1"/>
        <v>0</v>
      </c>
      <c r="E17" s="71">
        <f t="shared" si="1"/>
        <v>703100</v>
      </c>
      <c r="F17" s="71">
        <f t="shared" si="1"/>
        <v>370500</v>
      </c>
      <c r="G17" s="71">
        <f t="shared" si="1"/>
        <v>475200</v>
      </c>
      <c r="H17" s="71">
        <f t="shared" si="1"/>
        <v>681800</v>
      </c>
      <c r="I17" s="72">
        <f>SUM(B17:H17)</f>
        <v>2967300</v>
      </c>
    </row>
    <row r="18" spans="1:9" ht="6.6" customHeight="1" x14ac:dyDescent="0.3">
      <c r="I18" s="47"/>
    </row>
    <row r="19" spans="1:9" ht="18.600000000000001" customHeight="1" x14ac:dyDescent="0.3">
      <c r="A19" s="67" t="str">
        <f>DAILY!A21</f>
        <v>R-14</v>
      </c>
      <c r="B19" s="83"/>
      <c r="C19" s="83"/>
      <c r="D19" s="83"/>
      <c r="E19" s="83"/>
      <c r="F19" s="83"/>
      <c r="G19" s="83"/>
      <c r="H19" s="83"/>
      <c r="I19" s="72">
        <f>SUM(B19:H19)</f>
        <v>0</v>
      </c>
    </row>
    <row r="20" spans="1:9" ht="6.6" customHeight="1" x14ac:dyDescent="0.3">
      <c r="I20" s="47"/>
    </row>
    <row r="21" spans="1:9" ht="18.600000000000001" customHeight="1" x14ac:dyDescent="0.25">
      <c r="A21" s="67" t="str">
        <f>DAILY!A25</f>
        <v>102 1</v>
      </c>
      <c r="B21" s="68"/>
      <c r="C21" s="68"/>
      <c r="D21" s="68"/>
      <c r="E21" s="68"/>
      <c r="F21" s="68">
        <v>81200</v>
      </c>
      <c r="G21" s="68">
        <v>271600</v>
      </c>
      <c r="H21" s="68">
        <v>263200</v>
      </c>
      <c r="I21" s="69">
        <f t="shared" ref="I21:I26" si="2">SUM(B21:H21)</f>
        <v>616000</v>
      </c>
    </row>
    <row r="22" spans="1:9" ht="18.600000000000001" customHeight="1" x14ac:dyDescent="0.25">
      <c r="A22" s="67" t="str">
        <f>DAILY!A26</f>
        <v>102 2</v>
      </c>
      <c r="B22" s="68"/>
      <c r="C22" s="68">
        <v>537500</v>
      </c>
      <c r="D22" s="68"/>
      <c r="E22" s="68">
        <v>492500</v>
      </c>
      <c r="F22" s="68"/>
      <c r="G22" s="68"/>
      <c r="H22" s="68"/>
      <c r="I22" s="69">
        <f t="shared" si="2"/>
        <v>1030000</v>
      </c>
    </row>
    <row r="23" spans="1:9" ht="18.600000000000001" customHeight="1" x14ac:dyDescent="0.25">
      <c r="A23" s="67" t="str">
        <f>DAILY!A27</f>
        <v>102 3</v>
      </c>
      <c r="B23" s="68"/>
      <c r="C23" s="68"/>
      <c r="D23" s="68"/>
      <c r="E23" s="68"/>
      <c r="F23" s="68"/>
      <c r="G23" s="68"/>
      <c r="H23" s="68"/>
      <c r="I23" s="69">
        <f t="shared" si="2"/>
        <v>0</v>
      </c>
    </row>
    <row r="24" spans="1:9" ht="18.600000000000001" customHeight="1" x14ac:dyDescent="0.25">
      <c r="A24" s="67" t="str">
        <f>DAILY!A28</f>
        <v>102 4</v>
      </c>
      <c r="B24" s="68"/>
      <c r="C24" s="68"/>
      <c r="D24" s="68"/>
      <c r="E24" s="68"/>
      <c r="F24" s="68"/>
      <c r="G24" s="68"/>
      <c r="H24" s="68"/>
      <c r="I24" s="69">
        <f t="shared" si="2"/>
        <v>0</v>
      </c>
    </row>
    <row r="25" spans="1:9" ht="18.600000000000001" customHeight="1" x14ac:dyDescent="0.25">
      <c r="A25" s="67" t="str">
        <f>DAILY!A29</f>
        <v>102 5</v>
      </c>
      <c r="B25" s="68"/>
      <c r="C25" s="68"/>
      <c r="D25" s="68"/>
      <c r="E25" s="68"/>
      <c r="F25" s="68"/>
      <c r="G25" s="68"/>
      <c r="H25" s="68"/>
      <c r="I25" s="69">
        <f t="shared" si="2"/>
        <v>0</v>
      </c>
    </row>
    <row r="26" spans="1:9" ht="18.600000000000001" customHeight="1" x14ac:dyDescent="0.3">
      <c r="A26" s="70" t="s">
        <v>36</v>
      </c>
      <c r="B26" s="74">
        <f t="shared" ref="B26:H26" si="3">SUM(B21:B25)</f>
        <v>0</v>
      </c>
      <c r="C26" s="74">
        <f t="shared" si="3"/>
        <v>537500</v>
      </c>
      <c r="D26" s="74">
        <f t="shared" si="3"/>
        <v>0</v>
      </c>
      <c r="E26" s="74">
        <f t="shared" si="3"/>
        <v>492500</v>
      </c>
      <c r="F26" s="74">
        <f t="shared" si="3"/>
        <v>81200</v>
      </c>
      <c r="G26" s="74">
        <f t="shared" si="3"/>
        <v>271600</v>
      </c>
      <c r="H26" s="74">
        <f t="shared" si="3"/>
        <v>263200</v>
      </c>
      <c r="I26" s="72">
        <f t="shared" si="2"/>
        <v>1646000</v>
      </c>
    </row>
    <row r="27" spans="1:9" ht="6.6" customHeight="1" x14ac:dyDescent="0.3">
      <c r="I27" s="47"/>
    </row>
    <row r="28" spans="1:9" ht="18.600000000000001" customHeight="1" x14ac:dyDescent="0.25">
      <c r="A28" s="67" t="str">
        <f>DAILY!A34</f>
        <v>628 1</v>
      </c>
      <c r="B28" s="75"/>
      <c r="C28" s="75">
        <v>547200</v>
      </c>
      <c r="D28" s="75"/>
      <c r="E28" s="75">
        <v>648000</v>
      </c>
      <c r="F28" s="75"/>
      <c r="G28" s="75"/>
      <c r="H28" s="75"/>
      <c r="I28" s="69">
        <f>SUM(B28:H28)</f>
        <v>1195200</v>
      </c>
    </row>
    <row r="29" spans="1:9" ht="18.600000000000001" customHeight="1" x14ac:dyDescent="0.25">
      <c r="A29" s="67" t="str">
        <f>DAILY!A35</f>
        <v>628 2</v>
      </c>
      <c r="B29" s="75"/>
      <c r="C29" s="75">
        <v>331200</v>
      </c>
      <c r="D29" s="75"/>
      <c r="E29" s="75">
        <v>458400</v>
      </c>
      <c r="F29" s="75"/>
      <c r="G29" s="75"/>
      <c r="H29" s="75"/>
      <c r="I29" s="69">
        <f>SUM(B29:H29)</f>
        <v>789600</v>
      </c>
    </row>
    <row r="30" spans="1:9" ht="18.600000000000001" customHeight="1" x14ac:dyDescent="0.25">
      <c r="A30" s="67" t="str">
        <f>DAILY!A36</f>
        <v>628 3</v>
      </c>
      <c r="B30" s="75"/>
      <c r="C30" s="75"/>
      <c r="D30" s="75"/>
      <c r="E30" s="75"/>
      <c r="F30" s="75"/>
      <c r="G30" s="75"/>
      <c r="H30" s="75"/>
      <c r="I30" s="69">
        <f>SUM(B30:H30)</f>
        <v>0</v>
      </c>
    </row>
    <row r="31" spans="1:9" ht="18.600000000000001" customHeight="1" x14ac:dyDescent="0.25">
      <c r="A31" s="67" t="str">
        <f>DAILY!A37</f>
        <v>628 4</v>
      </c>
      <c r="B31" s="75"/>
      <c r="C31" s="75"/>
      <c r="D31" s="75"/>
      <c r="E31" s="75"/>
      <c r="F31" s="75"/>
      <c r="G31" s="75"/>
      <c r="H31" s="75"/>
      <c r="I31" s="69">
        <f>SUM(B31:H31)</f>
        <v>0</v>
      </c>
    </row>
    <row r="32" spans="1:9" ht="18.600000000000001" customHeight="1" x14ac:dyDescent="0.25">
      <c r="A32" s="67" t="str">
        <f>DAILY!A38</f>
        <v>628 5</v>
      </c>
      <c r="B32" s="68"/>
      <c r="C32" s="68"/>
      <c r="D32" s="68"/>
      <c r="E32" s="68"/>
      <c r="F32" s="68"/>
      <c r="G32" s="68"/>
      <c r="H32" s="68"/>
      <c r="I32" s="69">
        <f>SUM(B32:H32)</f>
        <v>0</v>
      </c>
    </row>
    <row r="33" spans="1:23" ht="18.600000000000001" customHeight="1" x14ac:dyDescent="0.3">
      <c r="A33" s="70" t="s">
        <v>35</v>
      </c>
      <c r="B33" s="74">
        <f t="shared" ref="B33:I33" si="4">SUM(B28:B32)</f>
        <v>0</v>
      </c>
      <c r="C33" s="74">
        <f t="shared" si="4"/>
        <v>878400</v>
      </c>
      <c r="D33" s="74">
        <f t="shared" si="4"/>
        <v>0</v>
      </c>
      <c r="E33" s="74">
        <f t="shared" si="4"/>
        <v>1106400</v>
      </c>
      <c r="F33" s="74">
        <f t="shared" si="4"/>
        <v>0</v>
      </c>
      <c r="G33" s="74">
        <f t="shared" si="4"/>
        <v>0</v>
      </c>
      <c r="H33" s="74">
        <f t="shared" si="4"/>
        <v>0</v>
      </c>
      <c r="I33" s="76">
        <f t="shared" si="4"/>
        <v>1984800</v>
      </c>
    </row>
    <row r="34" spans="1:23" ht="6.6" customHeight="1" x14ac:dyDescent="0.3">
      <c r="A34" s="40"/>
      <c r="B34" s="46"/>
      <c r="C34" s="46"/>
      <c r="D34" s="46"/>
      <c r="E34" s="46"/>
      <c r="F34" s="46"/>
      <c r="G34" s="46"/>
      <c r="H34" s="46"/>
      <c r="I34" s="47"/>
    </row>
    <row r="35" spans="1:23" ht="18.600000000000001" customHeight="1" x14ac:dyDescent="0.3">
      <c r="A35" s="77" t="s">
        <v>34</v>
      </c>
      <c r="B35" s="78">
        <f t="shared" ref="B35:I35" si="5">B17+B19+B26+B33</f>
        <v>0</v>
      </c>
      <c r="C35" s="78">
        <f t="shared" si="5"/>
        <v>2152600</v>
      </c>
      <c r="D35" s="78">
        <f t="shared" si="5"/>
        <v>0</v>
      </c>
      <c r="E35" s="78">
        <f t="shared" si="5"/>
        <v>2302000</v>
      </c>
      <c r="F35" s="78">
        <f t="shared" si="5"/>
        <v>451700</v>
      </c>
      <c r="G35" s="78">
        <f t="shared" si="5"/>
        <v>746800</v>
      </c>
      <c r="H35" s="78">
        <f t="shared" si="5"/>
        <v>945000</v>
      </c>
      <c r="I35" s="78">
        <f t="shared" si="5"/>
        <v>6598100</v>
      </c>
    </row>
    <row r="36" spans="1:23" ht="15.6" customHeight="1" x14ac:dyDescent="0.75">
      <c r="B36" s="81"/>
      <c r="C36" s="81"/>
      <c r="D36" s="81"/>
      <c r="E36" s="81"/>
      <c r="F36" s="81"/>
      <c r="G36" s="179" t="s">
        <v>2</v>
      </c>
      <c r="H36" s="179"/>
      <c r="I36" s="179"/>
      <c r="S36" s="183" t="s">
        <v>4</v>
      </c>
      <c r="T36" s="183"/>
      <c r="U36" s="183"/>
      <c r="V36" s="183"/>
      <c r="W36" s="183"/>
    </row>
    <row r="37" spans="1:23" ht="15.6" customHeight="1" x14ac:dyDescent="0.75">
      <c r="A37" s="81"/>
      <c r="B37" s="81"/>
      <c r="C37" s="81"/>
      <c r="D37" s="81"/>
      <c r="E37" s="81"/>
      <c r="F37" s="177">
        <f>SUM(B35:H35)</f>
        <v>6598100</v>
      </c>
      <c r="G37" s="177"/>
      <c r="H37" s="177"/>
      <c r="I37" s="177"/>
      <c r="R37" s="82"/>
      <c r="S37" s="182">
        <f>Summary!H23</f>
        <v>38708100</v>
      </c>
      <c r="T37" s="182"/>
      <c r="U37" s="182"/>
      <c r="V37" s="182"/>
      <c r="W37" s="182"/>
    </row>
    <row r="38" spans="1:23" ht="15.6" customHeight="1" x14ac:dyDescent="0.75">
      <c r="A38" s="81"/>
      <c r="B38" s="81"/>
      <c r="C38" s="81"/>
      <c r="D38" s="81"/>
      <c r="E38" s="81"/>
      <c r="F38" s="177"/>
      <c r="G38" s="177"/>
      <c r="H38" s="177"/>
      <c r="I38" s="177"/>
      <c r="R38" s="82"/>
      <c r="S38" s="182"/>
      <c r="T38" s="182"/>
      <c r="U38" s="182"/>
      <c r="V38" s="182"/>
      <c r="W38" s="182"/>
    </row>
    <row r="39" spans="1:23" ht="13.2" customHeight="1" x14ac:dyDescent="0.75">
      <c r="A39" s="81"/>
      <c r="B39" s="81"/>
      <c r="C39" s="81"/>
      <c r="D39" s="81"/>
      <c r="E39" s="81"/>
      <c r="F39" s="177"/>
      <c r="G39" s="177"/>
      <c r="H39" s="177"/>
      <c r="I39" s="177"/>
      <c r="R39" s="82"/>
      <c r="S39" s="182"/>
      <c r="T39" s="182"/>
      <c r="U39" s="182"/>
      <c r="V39" s="182"/>
      <c r="W39" s="182"/>
    </row>
    <row r="46" spans="1:23" x14ac:dyDescent="0.25">
      <c r="W46" s="79" t="s">
        <v>93</v>
      </c>
    </row>
  </sheetData>
  <sheetProtection sheet="1" selectLockedCells="1"/>
  <mergeCells count="10">
    <mergeCell ref="J1:W1"/>
    <mergeCell ref="J2:W2"/>
    <mergeCell ref="J3:W3"/>
    <mergeCell ref="S37:W39"/>
    <mergeCell ref="S36:W36"/>
    <mergeCell ref="G36:I36"/>
    <mergeCell ref="A1:G1"/>
    <mergeCell ref="A2:I2"/>
    <mergeCell ref="A3:I3"/>
    <mergeCell ref="F37:I39"/>
  </mergeCells>
  <phoneticPr fontId="20" type="noConversion"/>
  <conditionalFormatting sqref="S37">
    <cfRule type="cellIs" dxfId="1" priority="1" operator="lessThan">
      <formula>$F$2</formula>
    </cfRule>
  </conditionalFormatting>
  <pageMargins left="0.2" right="0.2" top="0.25" bottom="0.25" header="0.3" footer="0.3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FC37-063A-4E3B-A2E1-0E64B67640FE}">
  <sheetPr codeName="Sheet5"/>
  <dimension ref="A1:W39"/>
  <sheetViews>
    <sheetView showGridLines="0" zoomScaleNormal="100" workbookViewId="0">
      <selection activeCell="E43" sqref="E43"/>
    </sheetView>
  </sheetViews>
  <sheetFormatPr defaultColWidth="9.109375" defaultRowHeight="13.2" x14ac:dyDescent="0.25"/>
  <cols>
    <col min="1" max="1" width="13.6640625" style="35" customWidth="1"/>
    <col min="2" max="8" width="14.88671875" style="35" customWidth="1"/>
    <col min="9" max="9" width="16.33203125" style="35" customWidth="1"/>
    <col min="10" max="22" width="9.109375" style="35" hidden="1" customWidth="1"/>
    <col min="23" max="23" width="16.88671875" style="35" hidden="1" customWidth="1"/>
    <col min="24" max="24" width="9.109375" style="35" customWidth="1"/>
    <col min="25" max="16384" width="9.109375" style="35"/>
  </cols>
  <sheetData>
    <row r="1" spans="1:23" ht="4.8" customHeight="1" x14ac:dyDescent="0.3">
      <c r="A1" s="180"/>
      <c r="B1" s="180"/>
      <c r="C1" s="180"/>
      <c r="D1" s="180"/>
      <c r="E1" s="180"/>
      <c r="F1" s="180"/>
      <c r="G1" s="180"/>
      <c r="H1" s="40"/>
      <c r="I1" s="40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</row>
    <row r="2" spans="1:23" ht="15.6" x14ac:dyDescent="0.3">
      <c r="A2" s="181">
        <f>SUN!A2+1</f>
        <v>45838</v>
      </c>
      <c r="B2" s="181"/>
      <c r="C2" s="181"/>
      <c r="D2" s="181"/>
      <c r="E2" s="181"/>
      <c r="F2" s="181"/>
      <c r="G2" s="181"/>
      <c r="H2" s="181"/>
      <c r="I2" s="181"/>
      <c r="J2" s="181">
        <f>A2</f>
        <v>45838</v>
      </c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23" ht="15.75" customHeight="1" x14ac:dyDescent="0.3">
      <c r="A3" s="180" t="s">
        <v>46</v>
      </c>
      <c r="B3" s="180"/>
      <c r="C3" s="180"/>
      <c r="D3" s="180"/>
      <c r="E3" s="180"/>
      <c r="F3" s="180"/>
      <c r="G3" s="180"/>
      <c r="H3" s="180"/>
      <c r="I3" s="180"/>
      <c r="J3" s="181" t="str">
        <f>A3</f>
        <v>FOLDING DEPARTMENT</v>
      </c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4" spans="1:23" ht="18.600000000000001" customHeight="1" x14ac:dyDescent="0.3">
      <c r="A4" s="36" t="s">
        <v>45</v>
      </c>
      <c r="B4" s="39" t="s">
        <v>44</v>
      </c>
      <c r="C4" s="39" t="s">
        <v>43</v>
      </c>
      <c r="D4" s="39" t="s">
        <v>42</v>
      </c>
      <c r="E4" s="39" t="s">
        <v>41</v>
      </c>
      <c r="F4" s="38" t="s">
        <v>40</v>
      </c>
      <c r="G4" s="38" t="s">
        <v>39</v>
      </c>
      <c r="H4" s="37" t="s">
        <v>38</v>
      </c>
      <c r="I4" s="36"/>
    </row>
    <row r="5" spans="1:23" ht="18.600000000000001" customHeight="1" x14ac:dyDescent="0.25">
      <c r="A5" s="67" t="str">
        <f>DAILY!A5</f>
        <v>527 1</v>
      </c>
      <c r="B5" s="68"/>
      <c r="C5" s="68"/>
      <c r="D5" s="68"/>
      <c r="E5" s="68"/>
      <c r="F5" s="68"/>
      <c r="G5" s="68"/>
      <c r="H5" s="68"/>
      <c r="I5" s="69">
        <f t="shared" ref="I5:I16" si="0">SUM(B5:H5)</f>
        <v>0</v>
      </c>
    </row>
    <row r="6" spans="1:23" ht="18.600000000000001" customHeight="1" x14ac:dyDescent="0.25">
      <c r="A6" s="67" t="str">
        <f>DAILY!A6</f>
        <v>527 2</v>
      </c>
      <c r="B6" s="68"/>
      <c r="C6" s="68"/>
      <c r="D6" s="68"/>
      <c r="E6" s="68"/>
      <c r="F6" s="68"/>
      <c r="G6" s="68"/>
      <c r="H6" s="68"/>
      <c r="I6" s="69">
        <f t="shared" si="0"/>
        <v>0</v>
      </c>
    </row>
    <row r="7" spans="1:23" ht="18.600000000000001" customHeight="1" x14ac:dyDescent="0.25">
      <c r="A7" s="67" t="str">
        <f>DAILY!A7</f>
        <v>527 3</v>
      </c>
      <c r="B7" s="68"/>
      <c r="C7" s="68"/>
      <c r="D7" s="68"/>
      <c r="E7" s="68"/>
      <c r="F7" s="68"/>
      <c r="G7" s="68"/>
      <c r="H7" s="68"/>
      <c r="I7" s="69">
        <f t="shared" si="0"/>
        <v>0</v>
      </c>
    </row>
    <row r="8" spans="1:23" ht="18.600000000000001" customHeight="1" x14ac:dyDescent="0.25">
      <c r="A8" s="67" t="str">
        <f>DAILY!A8</f>
        <v>527 4</v>
      </c>
      <c r="B8" s="68"/>
      <c r="C8" s="68"/>
      <c r="D8" s="68"/>
      <c r="E8" s="68"/>
      <c r="F8" s="68"/>
      <c r="G8" s="68"/>
      <c r="H8" s="68"/>
      <c r="I8" s="69">
        <f t="shared" si="0"/>
        <v>0</v>
      </c>
    </row>
    <row r="9" spans="1:23" ht="18.600000000000001" customHeight="1" x14ac:dyDescent="0.25">
      <c r="A9" s="67" t="str">
        <f>DAILY!A9</f>
        <v>527 5</v>
      </c>
      <c r="B9" s="68"/>
      <c r="C9" s="68"/>
      <c r="D9" s="68"/>
      <c r="E9" s="68"/>
      <c r="F9" s="68"/>
      <c r="G9" s="68"/>
      <c r="H9" s="68"/>
      <c r="I9" s="69">
        <f t="shared" si="0"/>
        <v>0</v>
      </c>
    </row>
    <row r="10" spans="1:23" ht="18.600000000000001" customHeight="1" x14ac:dyDescent="0.25">
      <c r="A10" s="67" t="str">
        <f>DAILY!A10</f>
        <v>527 6</v>
      </c>
      <c r="B10" s="68"/>
      <c r="C10" s="68"/>
      <c r="D10" s="68"/>
      <c r="E10" s="68"/>
      <c r="F10" s="68"/>
      <c r="G10" s="68"/>
      <c r="H10" s="68"/>
      <c r="I10" s="69">
        <f t="shared" si="0"/>
        <v>0</v>
      </c>
    </row>
    <row r="11" spans="1:23" ht="18.600000000000001" customHeight="1" x14ac:dyDescent="0.25">
      <c r="A11" s="67" t="str">
        <f>DAILY!A11</f>
        <v>527 7</v>
      </c>
      <c r="B11" s="68"/>
      <c r="C11" s="68"/>
      <c r="D11" s="68"/>
      <c r="E11" s="68"/>
      <c r="F11" s="68"/>
      <c r="G11" s="68"/>
      <c r="H11" s="68"/>
      <c r="I11" s="69">
        <f t="shared" si="0"/>
        <v>0</v>
      </c>
    </row>
    <row r="12" spans="1:23" ht="18.600000000000001" customHeight="1" x14ac:dyDescent="0.25">
      <c r="A12" s="67" t="str">
        <f>DAILY!A12</f>
        <v>527 8</v>
      </c>
      <c r="B12" s="68"/>
      <c r="C12" s="68"/>
      <c r="D12" s="68"/>
      <c r="E12" s="68"/>
      <c r="F12" s="68"/>
      <c r="G12" s="68"/>
      <c r="H12" s="68"/>
      <c r="I12" s="69">
        <f t="shared" si="0"/>
        <v>0</v>
      </c>
    </row>
    <row r="13" spans="1:23" ht="18.600000000000001" customHeight="1" x14ac:dyDescent="0.25">
      <c r="A13" s="67" t="str">
        <f>DAILY!A13</f>
        <v>527 9</v>
      </c>
      <c r="B13" s="68"/>
      <c r="C13" s="68"/>
      <c r="D13" s="68"/>
      <c r="E13" s="68"/>
      <c r="F13" s="68"/>
      <c r="G13" s="68"/>
      <c r="H13" s="68"/>
      <c r="I13" s="69">
        <f t="shared" si="0"/>
        <v>0</v>
      </c>
    </row>
    <row r="14" spans="1:23" ht="18.600000000000001" customHeight="1" x14ac:dyDescent="0.25">
      <c r="A14" s="67" t="str">
        <f>DAILY!A14</f>
        <v>527 10</v>
      </c>
      <c r="B14" s="68"/>
      <c r="C14" s="68"/>
      <c r="D14" s="68"/>
      <c r="E14" s="68"/>
      <c r="F14" s="68"/>
      <c r="G14" s="68"/>
      <c r="H14" s="68"/>
      <c r="I14" s="69">
        <f t="shared" si="0"/>
        <v>0</v>
      </c>
    </row>
    <row r="15" spans="1:23" ht="18.600000000000001" customHeight="1" x14ac:dyDescent="0.25">
      <c r="A15" s="67" t="str">
        <f>DAILY!A15</f>
        <v>Cheetah</v>
      </c>
      <c r="B15" s="68"/>
      <c r="C15" s="68"/>
      <c r="D15" s="68"/>
      <c r="E15" s="68"/>
      <c r="F15" s="68"/>
      <c r="G15" s="68"/>
      <c r="H15" s="68"/>
      <c r="I15" s="69">
        <f t="shared" si="0"/>
        <v>0</v>
      </c>
    </row>
    <row r="16" spans="1:23" ht="18.600000000000001" customHeight="1" x14ac:dyDescent="0.25">
      <c r="A16" s="67" t="str">
        <f>DAILY!A16</f>
        <v>527 12</v>
      </c>
      <c r="B16" s="68"/>
      <c r="C16" s="68"/>
      <c r="D16" s="68"/>
      <c r="E16" s="68"/>
      <c r="F16" s="68"/>
      <c r="G16" s="68"/>
      <c r="H16" s="68"/>
      <c r="I16" s="69">
        <f t="shared" si="0"/>
        <v>0</v>
      </c>
    </row>
    <row r="17" spans="1:9" ht="18.600000000000001" customHeight="1" x14ac:dyDescent="0.3">
      <c r="A17" s="70" t="s">
        <v>37</v>
      </c>
      <c r="B17" s="71">
        <f t="shared" ref="B17:H17" si="1">SUM(B5:B16)</f>
        <v>0</v>
      </c>
      <c r="C17" s="71">
        <f t="shared" si="1"/>
        <v>0</v>
      </c>
      <c r="D17" s="71">
        <f t="shared" si="1"/>
        <v>0</v>
      </c>
      <c r="E17" s="71">
        <f t="shared" si="1"/>
        <v>0</v>
      </c>
      <c r="F17" s="71">
        <f t="shared" si="1"/>
        <v>0</v>
      </c>
      <c r="G17" s="71">
        <f t="shared" si="1"/>
        <v>0</v>
      </c>
      <c r="H17" s="71">
        <f t="shared" si="1"/>
        <v>0</v>
      </c>
      <c r="I17" s="72">
        <f>SUM(B17:H17)</f>
        <v>0</v>
      </c>
    </row>
    <row r="18" spans="1:9" ht="4.95" customHeight="1" x14ac:dyDescent="0.3">
      <c r="I18" s="47"/>
    </row>
    <row r="19" spans="1:9" ht="18.600000000000001" customHeight="1" x14ac:dyDescent="0.3">
      <c r="A19" s="67" t="str">
        <f>DAILY!A21</f>
        <v>R-14</v>
      </c>
      <c r="B19" s="83"/>
      <c r="C19" s="83"/>
      <c r="D19" s="83"/>
      <c r="E19" s="83"/>
      <c r="F19" s="83"/>
      <c r="G19" s="83"/>
      <c r="H19" s="83"/>
      <c r="I19" s="72">
        <f>SUM(B19:H19)</f>
        <v>0</v>
      </c>
    </row>
    <row r="20" spans="1:9" ht="6" customHeight="1" x14ac:dyDescent="0.3">
      <c r="I20" s="47"/>
    </row>
    <row r="21" spans="1:9" ht="18.600000000000001" customHeight="1" x14ac:dyDescent="0.25">
      <c r="A21" s="67" t="str">
        <f>DAILY!A25</f>
        <v>102 1</v>
      </c>
      <c r="B21" s="68"/>
      <c r="C21" s="68"/>
      <c r="D21" s="68"/>
      <c r="E21" s="68"/>
      <c r="F21" s="68"/>
      <c r="G21" s="68"/>
      <c r="H21" s="68"/>
      <c r="I21" s="69">
        <f t="shared" ref="I21:I26" si="2">SUM(B21:H21)</f>
        <v>0</v>
      </c>
    </row>
    <row r="22" spans="1:9" ht="18.600000000000001" customHeight="1" x14ac:dyDescent="0.25">
      <c r="A22" s="67" t="str">
        <f>DAILY!A26</f>
        <v>102 2</v>
      </c>
      <c r="B22" s="68"/>
      <c r="C22" s="68"/>
      <c r="D22" s="68"/>
      <c r="E22" s="68"/>
      <c r="F22" s="68"/>
      <c r="G22" s="68"/>
      <c r="H22" s="68"/>
      <c r="I22" s="69">
        <f t="shared" si="2"/>
        <v>0</v>
      </c>
    </row>
    <row r="23" spans="1:9" ht="18.600000000000001" customHeight="1" x14ac:dyDescent="0.25">
      <c r="A23" s="67" t="str">
        <f>DAILY!A27</f>
        <v>102 3</v>
      </c>
      <c r="B23" s="68"/>
      <c r="C23" s="68"/>
      <c r="D23" s="68"/>
      <c r="E23" s="68"/>
      <c r="F23" s="68"/>
      <c r="G23" s="68"/>
      <c r="H23" s="68"/>
      <c r="I23" s="69">
        <f t="shared" si="2"/>
        <v>0</v>
      </c>
    </row>
    <row r="24" spans="1:9" ht="18.600000000000001" customHeight="1" x14ac:dyDescent="0.25">
      <c r="A24" s="67" t="str">
        <f>DAILY!A28</f>
        <v>102 4</v>
      </c>
      <c r="B24" s="68"/>
      <c r="C24" s="68"/>
      <c r="D24" s="68"/>
      <c r="E24" s="68"/>
      <c r="F24" s="68"/>
      <c r="G24" s="68"/>
      <c r="H24" s="68"/>
      <c r="I24" s="69">
        <f t="shared" si="2"/>
        <v>0</v>
      </c>
    </row>
    <row r="25" spans="1:9" ht="18.600000000000001" customHeight="1" x14ac:dyDescent="0.25">
      <c r="A25" s="67" t="str">
        <f>DAILY!A29</f>
        <v>102 5</v>
      </c>
      <c r="B25" s="68"/>
      <c r="C25" s="68"/>
      <c r="D25" s="68"/>
      <c r="E25" s="68"/>
      <c r="F25" s="68"/>
      <c r="G25" s="68"/>
      <c r="H25" s="68"/>
      <c r="I25" s="69">
        <f t="shared" si="2"/>
        <v>0</v>
      </c>
    </row>
    <row r="26" spans="1:9" ht="18.600000000000001" customHeight="1" x14ac:dyDescent="0.3">
      <c r="A26" s="70" t="s">
        <v>36</v>
      </c>
      <c r="B26" s="74">
        <f t="shared" ref="B26:H26" si="3">SUM(B21:B25)</f>
        <v>0</v>
      </c>
      <c r="C26" s="74">
        <f t="shared" si="3"/>
        <v>0</v>
      </c>
      <c r="D26" s="74">
        <f t="shared" si="3"/>
        <v>0</v>
      </c>
      <c r="E26" s="74">
        <f t="shared" si="3"/>
        <v>0</v>
      </c>
      <c r="F26" s="74">
        <f t="shared" si="3"/>
        <v>0</v>
      </c>
      <c r="G26" s="74">
        <f t="shared" si="3"/>
        <v>0</v>
      </c>
      <c r="H26" s="74">
        <f t="shared" si="3"/>
        <v>0</v>
      </c>
      <c r="I26" s="72">
        <f t="shared" si="2"/>
        <v>0</v>
      </c>
    </row>
    <row r="27" spans="1:9" ht="4.95" customHeight="1" x14ac:dyDescent="0.3">
      <c r="I27" s="47"/>
    </row>
    <row r="28" spans="1:9" ht="18.600000000000001" customHeight="1" x14ac:dyDescent="0.25">
      <c r="A28" s="67" t="s">
        <v>82</v>
      </c>
      <c r="B28" s="75"/>
      <c r="C28" s="75"/>
      <c r="D28" s="75"/>
      <c r="E28" s="75"/>
      <c r="F28" s="75"/>
      <c r="G28" s="75"/>
      <c r="H28" s="75"/>
      <c r="I28" s="69">
        <f>SUM(B28:H28)</f>
        <v>0</v>
      </c>
    </row>
    <row r="29" spans="1:9" ht="18.600000000000001" customHeight="1" x14ac:dyDescent="0.25">
      <c r="A29" s="67" t="s">
        <v>83</v>
      </c>
      <c r="B29" s="75"/>
      <c r="C29" s="75"/>
      <c r="D29" s="75"/>
      <c r="E29" s="75"/>
      <c r="F29" s="75"/>
      <c r="G29" s="75"/>
      <c r="H29" s="75"/>
      <c r="I29" s="69">
        <f>SUM(B29:H29)</f>
        <v>0</v>
      </c>
    </row>
    <row r="30" spans="1:9" ht="18.600000000000001" customHeight="1" x14ac:dyDescent="0.25">
      <c r="A30" s="67" t="s">
        <v>84</v>
      </c>
      <c r="B30" s="75"/>
      <c r="C30" s="75"/>
      <c r="D30" s="75"/>
      <c r="E30" s="75"/>
      <c r="F30" s="75"/>
      <c r="G30" s="75"/>
      <c r="H30" s="75"/>
      <c r="I30" s="69">
        <f>SUM(B30:H30)</f>
        <v>0</v>
      </c>
    </row>
    <row r="31" spans="1:9" ht="18.600000000000001" customHeight="1" x14ac:dyDescent="0.25">
      <c r="A31" s="67" t="s">
        <v>85</v>
      </c>
      <c r="B31" s="75"/>
      <c r="C31" s="75"/>
      <c r="D31" s="75"/>
      <c r="E31" s="75"/>
      <c r="F31" s="75"/>
      <c r="G31" s="75"/>
      <c r="H31" s="75"/>
      <c r="I31" s="69">
        <f>SUM(B31:H31)</f>
        <v>0</v>
      </c>
    </row>
    <row r="32" spans="1:9" ht="18.600000000000001" customHeight="1" x14ac:dyDescent="0.25">
      <c r="A32" s="67" t="s">
        <v>86</v>
      </c>
      <c r="B32" s="68"/>
      <c r="C32" s="68"/>
      <c r="D32" s="68"/>
      <c r="E32" s="68"/>
      <c r="F32" s="68"/>
      <c r="G32" s="68"/>
      <c r="H32" s="68"/>
      <c r="I32" s="69">
        <f>SUM(B32:H32)</f>
        <v>0</v>
      </c>
    </row>
    <row r="33" spans="1:23" ht="18.600000000000001" customHeight="1" x14ac:dyDescent="0.3">
      <c r="A33" s="70" t="s">
        <v>35</v>
      </c>
      <c r="B33" s="74">
        <f t="shared" ref="B33:I33" si="4">SUM(B28:B32)</f>
        <v>0</v>
      </c>
      <c r="C33" s="74">
        <f t="shared" si="4"/>
        <v>0</v>
      </c>
      <c r="D33" s="74">
        <f t="shared" si="4"/>
        <v>0</v>
      </c>
      <c r="E33" s="74">
        <f t="shared" si="4"/>
        <v>0</v>
      </c>
      <c r="F33" s="74">
        <f t="shared" si="4"/>
        <v>0</v>
      </c>
      <c r="G33" s="74">
        <f t="shared" si="4"/>
        <v>0</v>
      </c>
      <c r="H33" s="74">
        <f t="shared" si="4"/>
        <v>0</v>
      </c>
      <c r="I33" s="76">
        <f t="shared" si="4"/>
        <v>0</v>
      </c>
    </row>
    <row r="34" spans="1:23" ht="4.95" customHeight="1" x14ac:dyDescent="0.3">
      <c r="A34" s="40"/>
      <c r="B34" s="46"/>
      <c r="C34" s="46"/>
      <c r="D34" s="46"/>
      <c r="E34" s="46"/>
      <c r="F34" s="46"/>
      <c r="G34" s="46"/>
      <c r="H34" s="46"/>
      <c r="I34" s="47"/>
    </row>
    <row r="35" spans="1:23" ht="18.600000000000001" customHeight="1" x14ac:dyDescent="0.3">
      <c r="A35" s="77" t="s">
        <v>34</v>
      </c>
      <c r="B35" s="78">
        <f t="shared" ref="B35:I35" si="5">B17+B19+B26+B33</f>
        <v>0</v>
      </c>
      <c r="C35" s="78">
        <f t="shared" si="5"/>
        <v>0</v>
      </c>
      <c r="D35" s="78">
        <f t="shared" si="5"/>
        <v>0</v>
      </c>
      <c r="E35" s="78">
        <f t="shared" si="5"/>
        <v>0</v>
      </c>
      <c r="F35" s="78">
        <f t="shared" si="5"/>
        <v>0</v>
      </c>
      <c r="G35" s="78">
        <f t="shared" si="5"/>
        <v>0</v>
      </c>
      <c r="H35" s="78">
        <f t="shared" si="5"/>
        <v>0</v>
      </c>
      <c r="I35" s="78">
        <f t="shared" si="5"/>
        <v>0</v>
      </c>
    </row>
    <row r="36" spans="1:23" ht="15" customHeight="1" x14ac:dyDescent="0.75">
      <c r="B36" s="81"/>
      <c r="C36" s="81"/>
      <c r="D36" s="81"/>
      <c r="E36" s="81"/>
      <c r="F36" s="81"/>
      <c r="G36" s="179" t="s">
        <v>2</v>
      </c>
      <c r="H36" s="179"/>
      <c r="I36" s="179"/>
      <c r="S36" s="183" t="s">
        <v>4</v>
      </c>
      <c r="T36" s="183"/>
      <c r="U36" s="183"/>
      <c r="V36" s="183"/>
      <c r="W36" s="183"/>
    </row>
    <row r="37" spans="1:23" ht="15" customHeight="1" x14ac:dyDescent="0.75">
      <c r="A37" s="81"/>
      <c r="B37" s="81"/>
      <c r="C37" s="81"/>
      <c r="D37" s="81"/>
      <c r="E37" s="81"/>
      <c r="F37" s="177">
        <f>SUM(B35:H35)</f>
        <v>0</v>
      </c>
      <c r="G37" s="177"/>
      <c r="H37" s="177"/>
      <c r="I37" s="177"/>
      <c r="S37" s="182">
        <f>Summary!H23</f>
        <v>38708100</v>
      </c>
      <c r="T37" s="182"/>
      <c r="U37" s="182"/>
      <c r="V37" s="182"/>
      <c r="W37" s="182"/>
    </row>
    <row r="38" spans="1:23" ht="15" customHeight="1" x14ac:dyDescent="0.75">
      <c r="A38" s="81"/>
      <c r="B38" s="81"/>
      <c r="C38" s="81"/>
      <c r="D38" s="81"/>
      <c r="E38" s="81"/>
      <c r="F38" s="177"/>
      <c r="G38" s="177"/>
      <c r="H38" s="177"/>
      <c r="I38" s="177"/>
      <c r="S38" s="182"/>
      <c r="T38" s="182"/>
      <c r="U38" s="182"/>
      <c r="V38" s="182"/>
      <c r="W38" s="182"/>
    </row>
    <row r="39" spans="1:23" ht="15" customHeight="1" x14ac:dyDescent="0.75">
      <c r="A39" s="81"/>
      <c r="B39" s="81"/>
      <c r="C39" s="81"/>
      <c r="D39" s="81"/>
      <c r="E39" s="81"/>
      <c r="F39" s="177"/>
      <c r="G39" s="177"/>
      <c r="H39" s="177"/>
      <c r="I39" s="177"/>
      <c r="S39" s="182"/>
      <c r="T39" s="182"/>
      <c r="U39" s="182"/>
      <c r="V39" s="182"/>
      <c r="W39" s="182"/>
    </row>
  </sheetData>
  <sheetProtection sheet="1" objects="1" scenarios="1"/>
  <mergeCells count="10">
    <mergeCell ref="A1:G1"/>
    <mergeCell ref="A2:I2"/>
    <mergeCell ref="A3:I3"/>
    <mergeCell ref="S36:W36"/>
    <mergeCell ref="S37:W39"/>
    <mergeCell ref="G36:I36"/>
    <mergeCell ref="F37:I39"/>
    <mergeCell ref="J1:W1"/>
    <mergeCell ref="J2:W2"/>
    <mergeCell ref="J3:W3"/>
  </mergeCells>
  <conditionalFormatting sqref="S37">
    <cfRule type="cellIs" dxfId="0" priority="1" operator="lessThan">
      <formula>$F$2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AttachWorkbook">
              <controlPr defaultSize="0" autoFill="0" autoLine="0" autoPict="0">
                <anchor moveWithCells="1">
                  <from>
                    <xdr:col>22</xdr:col>
                    <xdr:colOff>365760</xdr:colOff>
                    <xdr:row>45</xdr:row>
                    <xdr:rowOff>152400</xdr:rowOff>
                  </from>
                  <to>
                    <xdr:col>24</xdr:col>
                    <xdr:colOff>228600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999E6-3E2D-48EF-B34B-5A5B4FB6A03B}">
  <sheetPr codeName="Sheet6"/>
  <dimension ref="A1:I39"/>
  <sheetViews>
    <sheetView showGridLines="0" zoomScaleNormal="100" workbookViewId="0">
      <selection activeCell="E28" sqref="C28:E30"/>
    </sheetView>
  </sheetViews>
  <sheetFormatPr defaultColWidth="9.109375" defaultRowHeight="13.2" x14ac:dyDescent="0.25"/>
  <cols>
    <col min="1" max="9" width="14.88671875" style="35" customWidth="1"/>
    <col min="10" max="16384" width="9.109375" style="35"/>
  </cols>
  <sheetData>
    <row r="1" spans="1:9" ht="15.6" x14ac:dyDescent="0.3">
      <c r="A1" s="180"/>
      <c r="B1" s="180"/>
      <c r="C1" s="180"/>
      <c r="D1" s="180"/>
      <c r="E1" s="180"/>
      <c r="F1" s="180"/>
      <c r="G1" s="180"/>
      <c r="H1" s="40"/>
      <c r="I1" s="40"/>
    </row>
    <row r="2" spans="1:9" ht="15.6" x14ac:dyDescent="0.3">
      <c r="A2" s="181">
        <f>SUN!A2+2</f>
        <v>45839</v>
      </c>
      <c r="B2" s="181"/>
      <c r="C2" s="181"/>
      <c r="D2" s="181"/>
      <c r="E2" s="181"/>
      <c r="F2" s="181"/>
      <c r="G2" s="181"/>
      <c r="H2" s="181"/>
      <c r="I2" s="181"/>
    </row>
    <row r="3" spans="1:9" ht="15.6" x14ac:dyDescent="0.3">
      <c r="A3" s="180" t="s">
        <v>46</v>
      </c>
      <c r="B3" s="180"/>
      <c r="C3" s="180"/>
      <c r="D3" s="180"/>
      <c r="E3" s="180"/>
      <c r="F3" s="180"/>
      <c r="G3" s="180"/>
      <c r="H3" s="180"/>
      <c r="I3" s="180"/>
    </row>
    <row r="4" spans="1:9" ht="18.600000000000001" customHeight="1" x14ac:dyDescent="0.3">
      <c r="A4" s="36" t="s">
        <v>45</v>
      </c>
      <c r="B4" s="39" t="s">
        <v>44</v>
      </c>
      <c r="C4" s="39" t="s">
        <v>43</v>
      </c>
      <c r="D4" s="39" t="s">
        <v>42</v>
      </c>
      <c r="E4" s="39" t="s">
        <v>41</v>
      </c>
      <c r="F4" s="38" t="s">
        <v>40</v>
      </c>
      <c r="G4" s="38" t="s">
        <v>39</v>
      </c>
      <c r="H4" s="37" t="s">
        <v>38</v>
      </c>
      <c r="I4" s="36"/>
    </row>
    <row r="5" spans="1:9" ht="18.600000000000001" customHeight="1" x14ac:dyDescent="0.25">
      <c r="A5" s="67" t="str">
        <f>DAILY!A5</f>
        <v>527 1</v>
      </c>
      <c r="B5" s="68"/>
      <c r="C5" s="68"/>
      <c r="D5" s="68"/>
      <c r="E5" s="68"/>
      <c r="F5" s="68"/>
      <c r="G5" s="68"/>
      <c r="H5" s="68"/>
      <c r="I5" s="69">
        <f t="shared" ref="I5:I16" si="0">SUM(B5:H5)</f>
        <v>0</v>
      </c>
    </row>
    <row r="6" spans="1:9" ht="18.600000000000001" customHeight="1" x14ac:dyDescent="0.25">
      <c r="A6" s="67" t="str">
        <f>DAILY!A6</f>
        <v>527 2</v>
      </c>
      <c r="B6" s="68"/>
      <c r="C6" s="68"/>
      <c r="D6" s="68"/>
      <c r="E6" s="68"/>
      <c r="F6" s="68"/>
      <c r="G6" s="68"/>
      <c r="H6" s="68"/>
      <c r="I6" s="69">
        <f t="shared" si="0"/>
        <v>0</v>
      </c>
    </row>
    <row r="7" spans="1:9" ht="18.600000000000001" customHeight="1" x14ac:dyDescent="0.25">
      <c r="A7" s="67" t="str">
        <f>DAILY!A7</f>
        <v>527 3</v>
      </c>
      <c r="B7" s="68"/>
      <c r="C7" s="68"/>
      <c r="D7" s="68"/>
      <c r="E7" s="68"/>
      <c r="F7" s="68"/>
      <c r="G7" s="68"/>
      <c r="H7" s="68"/>
      <c r="I7" s="69">
        <f t="shared" si="0"/>
        <v>0</v>
      </c>
    </row>
    <row r="8" spans="1:9" ht="18.600000000000001" customHeight="1" x14ac:dyDescent="0.25">
      <c r="A8" s="67" t="str">
        <f>DAILY!A8</f>
        <v>527 4</v>
      </c>
      <c r="B8" s="68"/>
      <c r="C8" s="68"/>
      <c r="D8" s="68"/>
      <c r="E8" s="68"/>
      <c r="F8" s="68"/>
      <c r="G8" s="68">
        <v>120400</v>
      </c>
      <c r="H8" s="68">
        <v>266000</v>
      </c>
      <c r="I8" s="69">
        <f t="shared" si="0"/>
        <v>386400</v>
      </c>
    </row>
    <row r="9" spans="1:9" ht="18.600000000000001" customHeight="1" x14ac:dyDescent="0.25">
      <c r="A9" s="67" t="str">
        <f>DAILY!A9</f>
        <v>527 5</v>
      </c>
      <c r="B9" s="68"/>
      <c r="C9" s="68">
        <v>228000</v>
      </c>
      <c r="D9" s="68"/>
      <c r="E9" s="68">
        <v>166000</v>
      </c>
      <c r="F9" s="68"/>
      <c r="G9" s="68"/>
      <c r="H9" s="68"/>
      <c r="I9" s="69">
        <f t="shared" si="0"/>
        <v>394000</v>
      </c>
    </row>
    <row r="10" spans="1:9" ht="18.600000000000001" customHeight="1" x14ac:dyDescent="0.25">
      <c r="A10" s="67" t="str">
        <f>DAILY!A10</f>
        <v>527 6</v>
      </c>
      <c r="B10" s="68"/>
      <c r="C10" s="68">
        <v>333500</v>
      </c>
      <c r="D10" s="68"/>
      <c r="E10" s="68">
        <v>356500</v>
      </c>
      <c r="F10" s="68"/>
      <c r="G10" s="68"/>
      <c r="H10" s="68"/>
      <c r="I10" s="69">
        <f t="shared" si="0"/>
        <v>690000</v>
      </c>
    </row>
    <row r="11" spans="1:9" ht="18.600000000000001" customHeight="1" x14ac:dyDescent="0.25">
      <c r="A11" s="67" t="str">
        <f>DAILY!A11</f>
        <v>527 7</v>
      </c>
      <c r="B11" s="68"/>
      <c r="C11" s="68">
        <v>175200</v>
      </c>
      <c r="D11" s="68"/>
      <c r="E11" s="68">
        <v>180600</v>
      </c>
      <c r="F11" s="68"/>
      <c r="G11" s="68"/>
      <c r="H11" s="68"/>
      <c r="I11" s="69">
        <f t="shared" si="0"/>
        <v>355800</v>
      </c>
    </row>
    <row r="12" spans="1:9" ht="18.600000000000001" customHeight="1" x14ac:dyDescent="0.25">
      <c r="A12" s="67" t="str">
        <f>DAILY!A12</f>
        <v>527 8</v>
      </c>
      <c r="B12" s="68"/>
      <c r="C12" s="68"/>
      <c r="D12" s="68"/>
      <c r="E12" s="68"/>
      <c r="F12" s="68">
        <v>211300</v>
      </c>
      <c r="G12" s="68">
        <v>198000</v>
      </c>
      <c r="H12" s="68">
        <v>245000</v>
      </c>
      <c r="I12" s="69">
        <f t="shared" si="0"/>
        <v>654300</v>
      </c>
    </row>
    <row r="13" spans="1:9" ht="18.600000000000001" customHeight="1" x14ac:dyDescent="0.25">
      <c r="A13" s="67" t="str">
        <f>DAILY!A13</f>
        <v>527 9</v>
      </c>
      <c r="B13" s="68"/>
      <c r="C13" s="68"/>
      <c r="D13" s="68"/>
      <c r="E13" s="68"/>
      <c r="F13" s="68">
        <v>159200</v>
      </c>
      <c r="G13" s="68">
        <v>156800</v>
      </c>
      <c r="H13" s="68">
        <v>170800</v>
      </c>
      <c r="I13" s="69">
        <f t="shared" si="0"/>
        <v>486800</v>
      </c>
    </row>
    <row r="14" spans="1:9" ht="18.600000000000001" customHeight="1" x14ac:dyDescent="0.25">
      <c r="A14" s="67" t="str">
        <f>DAILY!A14</f>
        <v>527 10</v>
      </c>
      <c r="B14" s="68"/>
      <c r="C14" s="68"/>
      <c r="D14" s="68"/>
      <c r="E14" s="68"/>
      <c r="F14" s="68"/>
      <c r="G14" s="68"/>
      <c r="H14" s="68"/>
      <c r="I14" s="69">
        <f t="shared" si="0"/>
        <v>0</v>
      </c>
    </row>
    <row r="15" spans="1:9" ht="18.600000000000001" customHeight="1" x14ac:dyDescent="0.25">
      <c r="A15" s="67" t="str">
        <f>DAILY!A15</f>
        <v>Cheetah</v>
      </c>
      <c r="B15" s="68"/>
      <c r="C15" s="68"/>
      <c r="D15" s="68"/>
      <c r="E15" s="68"/>
      <c r="F15" s="68"/>
      <c r="G15" s="68"/>
      <c r="H15" s="68"/>
      <c r="I15" s="69">
        <f t="shared" si="0"/>
        <v>0</v>
      </c>
    </row>
    <row r="16" spans="1:9" ht="18.600000000000001" customHeight="1" x14ac:dyDescent="0.25">
      <c r="A16" s="67" t="str">
        <f>DAILY!A16</f>
        <v>527 12</v>
      </c>
      <c r="B16" s="68"/>
      <c r="C16" s="68"/>
      <c r="D16" s="68"/>
      <c r="E16" s="68"/>
      <c r="F16" s="68"/>
      <c r="G16" s="68"/>
      <c r="H16" s="68"/>
      <c r="I16" s="69">
        <f t="shared" si="0"/>
        <v>0</v>
      </c>
    </row>
    <row r="17" spans="1:9" ht="18.600000000000001" customHeight="1" x14ac:dyDescent="0.3">
      <c r="A17" s="70" t="s">
        <v>37</v>
      </c>
      <c r="B17" s="71">
        <f t="shared" ref="B17:H17" si="1">SUM(B5:B16)</f>
        <v>0</v>
      </c>
      <c r="C17" s="71">
        <f t="shared" si="1"/>
        <v>736700</v>
      </c>
      <c r="D17" s="71">
        <f t="shared" si="1"/>
        <v>0</v>
      </c>
      <c r="E17" s="71">
        <f t="shared" si="1"/>
        <v>703100</v>
      </c>
      <c r="F17" s="71">
        <f t="shared" si="1"/>
        <v>370500</v>
      </c>
      <c r="G17" s="71">
        <f t="shared" si="1"/>
        <v>475200</v>
      </c>
      <c r="H17" s="71">
        <f t="shared" si="1"/>
        <v>681800</v>
      </c>
      <c r="I17" s="72">
        <f>SUM(B17:H17)</f>
        <v>2967300</v>
      </c>
    </row>
    <row r="18" spans="1:9" ht="6.6" customHeight="1" x14ac:dyDescent="0.3">
      <c r="I18" s="47"/>
    </row>
    <row r="19" spans="1:9" ht="18.600000000000001" customHeight="1" x14ac:dyDescent="0.3">
      <c r="A19" s="67" t="str">
        <f>DAILY!A21</f>
        <v>R-14</v>
      </c>
      <c r="B19" s="83"/>
      <c r="C19" s="83"/>
      <c r="D19" s="83"/>
      <c r="E19" s="83"/>
      <c r="F19" s="83"/>
      <c r="G19" s="83"/>
      <c r="H19" s="83"/>
      <c r="I19" s="72">
        <f>SUM(B19:H19)</f>
        <v>0</v>
      </c>
    </row>
    <row r="20" spans="1:9" ht="5.4" customHeight="1" x14ac:dyDescent="0.3">
      <c r="I20" s="47"/>
    </row>
    <row r="21" spans="1:9" ht="18.600000000000001" customHeight="1" x14ac:dyDescent="0.25">
      <c r="A21" s="67" t="str">
        <f>DAILY!A25</f>
        <v>102 1</v>
      </c>
      <c r="B21" s="68"/>
      <c r="C21" s="68"/>
      <c r="D21" s="68"/>
      <c r="E21" s="68"/>
      <c r="F21" s="68">
        <v>81200</v>
      </c>
      <c r="G21" s="68">
        <v>271600</v>
      </c>
      <c r="H21" s="68">
        <v>263200</v>
      </c>
      <c r="I21" s="69">
        <f t="shared" ref="I21:I26" si="2">SUM(B21:H21)</f>
        <v>616000</v>
      </c>
    </row>
    <row r="22" spans="1:9" ht="18.600000000000001" customHeight="1" x14ac:dyDescent="0.25">
      <c r="A22" s="67" t="str">
        <f>DAILY!A26</f>
        <v>102 2</v>
      </c>
      <c r="B22" s="68"/>
      <c r="C22" s="68">
        <v>537500</v>
      </c>
      <c r="D22" s="68"/>
      <c r="E22" s="68">
        <v>492500</v>
      </c>
      <c r="F22" s="68"/>
      <c r="G22" s="68"/>
      <c r="H22" s="68"/>
      <c r="I22" s="69">
        <f t="shared" si="2"/>
        <v>1030000</v>
      </c>
    </row>
    <row r="23" spans="1:9" ht="18.600000000000001" customHeight="1" x14ac:dyDescent="0.25">
      <c r="A23" s="67" t="str">
        <f>DAILY!A27</f>
        <v>102 3</v>
      </c>
      <c r="B23" s="68"/>
      <c r="C23" s="68"/>
      <c r="D23" s="68"/>
      <c r="E23" s="68"/>
      <c r="F23" s="68"/>
      <c r="G23" s="68"/>
      <c r="H23" s="68"/>
      <c r="I23" s="69">
        <f t="shared" si="2"/>
        <v>0</v>
      </c>
    </row>
    <row r="24" spans="1:9" ht="18.600000000000001" customHeight="1" x14ac:dyDescent="0.25">
      <c r="A24" s="67" t="str">
        <f>DAILY!A28</f>
        <v>102 4</v>
      </c>
      <c r="B24" s="68"/>
      <c r="C24" s="68"/>
      <c r="D24" s="68"/>
      <c r="E24" s="68"/>
      <c r="F24" s="68"/>
      <c r="G24" s="68"/>
      <c r="H24" s="68"/>
      <c r="I24" s="69">
        <f t="shared" si="2"/>
        <v>0</v>
      </c>
    </row>
    <row r="25" spans="1:9" ht="18.600000000000001" customHeight="1" x14ac:dyDescent="0.25">
      <c r="A25" s="67" t="str">
        <f>DAILY!A29</f>
        <v>102 5</v>
      </c>
      <c r="B25" s="68"/>
      <c r="C25" s="68"/>
      <c r="D25" s="68"/>
      <c r="E25" s="68"/>
      <c r="F25" s="68"/>
      <c r="G25" s="68"/>
      <c r="H25" s="68"/>
      <c r="I25" s="69">
        <f t="shared" si="2"/>
        <v>0</v>
      </c>
    </row>
    <row r="26" spans="1:9" ht="18.600000000000001" customHeight="1" x14ac:dyDescent="0.3">
      <c r="A26" s="70" t="s">
        <v>36</v>
      </c>
      <c r="B26" s="74">
        <f t="shared" ref="B26:H26" si="3">SUM(B21:B25)</f>
        <v>0</v>
      </c>
      <c r="C26" s="74">
        <f t="shared" si="3"/>
        <v>537500</v>
      </c>
      <c r="D26" s="74">
        <f t="shared" si="3"/>
        <v>0</v>
      </c>
      <c r="E26" s="74">
        <f t="shared" si="3"/>
        <v>492500</v>
      </c>
      <c r="F26" s="74">
        <f t="shared" si="3"/>
        <v>81200</v>
      </c>
      <c r="G26" s="74">
        <f t="shared" si="3"/>
        <v>271600</v>
      </c>
      <c r="H26" s="74">
        <f t="shared" si="3"/>
        <v>263200</v>
      </c>
      <c r="I26" s="72">
        <f t="shared" si="2"/>
        <v>1646000</v>
      </c>
    </row>
    <row r="27" spans="1:9" ht="6.6" customHeight="1" x14ac:dyDescent="0.3">
      <c r="I27" s="47"/>
    </row>
    <row r="28" spans="1:9" ht="18.600000000000001" customHeight="1" x14ac:dyDescent="0.25">
      <c r="A28" s="67" t="s">
        <v>82</v>
      </c>
      <c r="B28" s="75"/>
      <c r="C28" s="75">
        <v>547200</v>
      </c>
      <c r="D28" s="75"/>
      <c r="E28" s="75">
        <v>648000</v>
      </c>
      <c r="F28" s="75"/>
      <c r="G28" s="75"/>
      <c r="H28" s="75"/>
      <c r="I28" s="69">
        <f>SUM(B28:H28)</f>
        <v>1195200</v>
      </c>
    </row>
    <row r="29" spans="1:9" ht="18.600000000000001" customHeight="1" x14ac:dyDescent="0.25">
      <c r="A29" s="67" t="s">
        <v>83</v>
      </c>
      <c r="B29" s="75"/>
      <c r="C29" s="75">
        <v>331200</v>
      </c>
      <c r="D29" s="75"/>
      <c r="E29" s="75">
        <v>458400</v>
      </c>
      <c r="F29" s="75"/>
      <c r="G29" s="75"/>
      <c r="H29" s="75"/>
      <c r="I29" s="69">
        <f>SUM(B29:H29)</f>
        <v>789600</v>
      </c>
    </row>
    <row r="30" spans="1:9" ht="18.600000000000001" customHeight="1" x14ac:dyDescent="0.25">
      <c r="A30" s="67" t="s">
        <v>84</v>
      </c>
      <c r="B30" s="75"/>
      <c r="C30" s="75"/>
      <c r="D30" s="75"/>
      <c r="E30" s="75"/>
      <c r="F30" s="75"/>
      <c r="G30" s="75"/>
      <c r="H30" s="75"/>
      <c r="I30" s="69">
        <f>SUM(B30:H30)</f>
        <v>0</v>
      </c>
    </row>
    <row r="31" spans="1:9" ht="18.600000000000001" customHeight="1" x14ac:dyDescent="0.25">
      <c r="A31" s="67" t="s">
        <v>85</v>
      </c>
      <c r="B31" s="75"/>
      <c r="C31" s="75"/>
      <c r="D31" s="75"/>
      <c r="E31" s="75"/>
      <c r="F31" s="75"/>
      <c r="G31" s="75"/>
      <c r="H31" s="75"/>
      <c r="I31" s="69">
        <f>SUM(B31:H31)</f>
        <v>0</v>
      </c>
    </row>
    <row r="32" spans="1:9" ht="18.600000000000001" customHeight="1" x14ac:dyDescent="0.25">
      <c r="A32" s="67" t="s">
        <v>86</v>
      </c>
      <c r="B32" s="68"/>
      <c r="C32" s="68"/>
      <c r="D32" s="68"/>
      <c r="E32" s="68"/>
      <c r="F32" s="68"/>
      <c r="G32" s="68"/>
      <c r="H32" s="68"/>
      <c r="I32" s="69">
        <f>SUM(B32:H32)</f>
        <v>0</v>
      </c>
    </row>
    <row r="33" spans="1:9" ht="18.600000000000001" customHeight="1" x14ac:dyDescent="0.3">
      <c r="A33" s="70" t="s">
        <v>35</v>
      </c>
      <c r="B33" s="74">
        <f t="shared" ref="B33:I33" si="4">SUM(B28:B32)</f>
        <v>0</v>
      </c>
      <c r="C33" s="74">
        <f t="shared" si="4"/>
        <v>878400</v>
      </c>
      <c r="D33" s="74">
        <f t="shared" si="4"/>
        <v>0</v>
      </c>
      <c r="E33" s="74">
        <f t="shared" si="4"/>
        <v>1106400</v>
      </c>
      <c r="F33" s="74">
        <f t="shared" si="4"/>
        <v>0</v>
      </c>
      <c r="G33" s="74">
        <f t="shared" si="4"/>
        <v>0</v>
      </c>
      <c r="H33" s="74">
        <f t="shared" si="4"/>
        <v>0</v>
      </c>
      <c r="I33" s="76">
        <f t="shared" si="4"/>
        <v>1984800</v>
      </c>
    </row>
    <row r="34" spans="1:9" ht="6.6" customHeight="1" x14ac:dyDescent="0.3">
      <c r="A34" s="40"/>
      <c r="B34" s="46"/>
      <c r="C34" s="46"/>
      <c r="D34" s="46"/>
      <c r="E34" s="46"/>
      <c r="F34" s="46"/>
      <c r="G34" s="46"/>
      <c r="H34" s="46"/>
      <c r="I34" s="47"/>
    </row>
    <row r="35" spans="1:9" ht="18.600000000000001" customHeight="1" x14ac:dyDescent="0.3">
      <c r="A35" s="77" t="s">
        <v>34</v>
      </c>
      <c r="B35" s="78">
        <f t="shared" ref="B35:I35" si="5">B17+B19+B26+B33</f>
        <v>0</v>
      </c>
      <c r="C35" s="78">
        <f t="shared" si="5"/>
        <v>2152600</v>
      </c>
      <c r="D35" s="78">
        <f t="shared" si="5"/>
        <v>0</v>
      </c>
      <c r="E35" s="78">
        <f t="shared" si="5"/>
        <v>2302000</v>
      </c>
      <c r="F35" s="78">
        <f t="shared" si="5"/>
        <v>451700</v>
      </c>
      <c r="G35" s="78">
        <f t="shared" si="5"/>
        <v>746800</v>
      </c>
      <c r="H35" s="78">
        <f t="shared" si="5"/>
        <v>945000</v>
      </c>
      <c r="I35" s="78">
        <f t="shared" si="5"/>
        <v>6598100</v>
      </c>
    </row>
    <row r="36" spans="1:9" ht="13.2" customHeight="1" x14ac:dyDescent="0.25">
      <c r="A36" s="177">
        <f>SUM(B35:H35)</f>
        <v>6598100</v>
      </c>
      <c r="B36" s="177"/>
      <c r="C36" s="177"/>
      <c r="D36" s="177"/>
      <c r="E36" s="177"/>
      <c r="F36" s="177"/>
      <c r="G36" s="177"/>
      <c r="H36" s="177"/>
      <c r="I36" s="177"/>
    </row>
    <row r="37" spans="1:9" ht="13.2" customHeight="1" x14ac:dyDescent="0.25">
      <c r="A37" s="177"/>
      <c r="B37" s="177"/>
      <c r="C37" s="177"/>
      <c r="D37" s="177"/>
      <c r="E37" s="177"/>
      <c r="F37" s="177"/>
      <c r="G37" s="177"/>
      <c r="H37" s="177"/>
      <c r="I37" s="177"/>
    </row>
    <row r="38" spans="1:9" ht="13.2" customHeight="1" x14ac:dyDescent="0.25">
      <c r="A38" s="177"/>
      <c r="B38" s="177"/>
      <c r="C38" s="177"/>
      <c r="D38" s="177"/>
      <c r="E38" s="177"/>
      <c r="F38" s="177"/>
      <c r="G38" s="177"/>
      <c r="H38" s="177"/>
      <c r="I38" s="177"/>
    </row>
    <row r="39" spans="1:9" ht="13.2" customHeight="1" x14ac:dyDescent="0.25">
      <c r="A39" s="177"/>
      <c r="B39" s="177"/>
      <c r="C39" s="177"/>
      <c r="D39" s="177"/>
      <c r="E39" s="177"/>
      <c r="F39" s="177"/>
      <c r="G39" s="177"/>
      <c r="H39" s="177"/>
      <c r="I39" s="177"/>
    </row>
  </sheetData>
  <sheetProtection selectLockedCells="1"/>
  <mergeCells count="4">
    <mergeCell ref="A1:G1"/>
    <mergeCell ref="A2:I2"/>
    <mergeCell ref="A3:I3"/>
    <mergeCell ref="A36:I39"/>
  </mergeCells>
  <pageMargins left="0.7" right="0.7" top="0.75" bottom="0.75" header="0.3" footer="0.3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14399-0204-47E9-B88E-A8624E18FEC8}">
  <sheetPr codeName="Sheet7"/>
  <dimension ref="A1:I39"/>
  <sheetViews>
    <sheetView showGridLines="0" zoomScaleNormal="100" workbookViewId="0">
      <selection activeCell="A2" sqref="A2:I2"/>
    </sheetView>
  </sheetViews>
  <sheetFormatPr defaultColWidth="9.109375" defaultRowHeight="13.2" x14ac:dyDescent="0.25"/>
  <cols>
    <col min="1" max="9" width="14.88671875" style="35" customWidth="1"/>
    <col min="10" max="16384" width="9.109375" style="35"/>
  </cols>
  <sheetData>
    <row r="1" spans="1:9" ht="15.6" x14ac:dyDescent="0.3">
      <c r="A1" s="180"/>
      <c r="B1" s="180"/>
      <c r="C1" s="180"/>
      <c r="D1" s="180"/>
      <c r="E1" s="180"/>
      <c r="F1" s="180"/>
      <c r="G1" s="180"/>
      <c r="H1" s="40"/>
      <c r="I1" s="40"/>
    </row>
    <row r="2" spans="1:9" ht="15.6" x14ac:dyDescent="0.3">
      <c r="A2" s="181">
        <f>SUN!A2+3</f>
        <v>45840</v>
      </c>
      <c r="B2" s="181"/>
      <c r="C2" s="181"/>
      <c r="D2" s="181"/>
      <c r="E2" s="181"/>
      <c r="F2" s="181"/>
      <c r="G2" s="181"/>
      <c r="H2" s="181"/>
      <c r="I2" s="181"/>
    </row>
    <row r="3" spans="1:9" ht="15.6" x14ac:dyDescent="0.3">
      <c r="A3" s="180" t="s">
        <v>46</v>
      </c>
      <c r="B3" s="180"/>
      <c r="C3" s="180"/>
      <c r="D3" s="180"/>
      <c r="E3" s="180"/>
      <c r="F3" s="180"/>
      <c r="G3" s="180"/>
      <c r="H3" s="180"/>
      <c r="I3" s="180"/>
    </row>
    <row r="4" spans="1:9" ht="18.600000000000001" customHeight="1" x14ac:dyDescent="0.3">
      <c r="A4" s="36" t="s">
        <v>45</v>
      </c>
      <c r="B4" s="39" t="s">
        <v>44</v>
      </c>
      <c r="C4" s="39" t="s">
        <v>43</v>
      </c>
      <c r="D4" s="39" t="s">
        <v>42</v>
      </c>
      <c r="E4" s="39" t="s">
        <v>41</v>
      </c>
      <c r="F4" s="38" t="s">
        <v>40</v>
      </c>
      <c r="G4" s="38" t="s">
        <v>39</v>
      </c>
      <c r="H4" s="37" t="s">
        <v>38</v>
      </c>
      <c r="I4" s="36"/>
    </row>
    <row r="5" spans="1:9" ht="18.600000000000001" customHeight="1" x14ac:dyDescent="0.25">
      <c r="A5" s="67" t="str">
        <f>DAILY!A5</f>
        <v>527 1</v>
      </c>
      <c r="B5" s="68"/>
      <c r="C5" s="68"/>
      <c r="D5" s="68"/>
      <c r="E5" s="68"/>
      <c r="F5" s="68"/>
      <c r="G5" s="68"/>
      <c r="H5" s="68"/>
      <c r="I5" s="69">
        <f t="shared" ref="I5:I16" si="0">SUM(B5:H5)</f>
        <v>0</v>
      </c>
    </row>
    <row r="6" spans="1:9" ht="18.600000000000001" customHeight="1" x14ac:dyDescent="0.25">
      <c r="A6" s="67" t="str">
        <f>DAILY!A6</f>
        <v>527 2</v>
      </c>
      <c r="B6" s="68"/>
      <c r="C6" s="68"/>
      <c r="D6" s="68"/>
      <c r="E6" s="68"/>
      <c r="F6" s="68"/>
      <c r="G6" s="68"/>
      <c r="H6" s="68"/>
      <c r="I6" s="69">
        <f t="shared" si="0"/>
        <v>0</v>
      </c>
    </row>
    <row r="7" spans="1:9" ht="18.600000000000001" customHeight="1" x14ac:dyDescent="0.25">
      <c r="A7" s="67" t="str">
        <f>DAILY!A7</f>
        <v>527 3</v>
      </c>
      <c r="B7" s="68"/>
      <c r="C7" s="68"/>
      <c r="D7" s="68"/>
      <c r="E7" s="68"/>
      <c r="F7" s="68"/>
      <c r="G7" s="68"/>
      <c r="H7" s="68"/>
      <c r="I7" s="69">
        <f t="shared" si="0"/>
        <v>0</v>
      </c>
    </row>
    <row r="8" spans="1:9" ht="18.600000000000001" customHeight="1" x14ac:dyDescent="0.25">
      <c r="A8" s="67" t="str">
        <f>DAILY!A8</f>
        <v>527 4</v>
      </c>
      <c r="B8" s="68"/>
      <c r="C8" s="68"/>
      <c r="D8" s="68"/>
      <c r="E8" s="68"/>
      <c r="F8" s="68">
        <v>206500</v>
      </c>
      <c r="G8" s="68">
        <v>215000</v>
      </c>
      <c r="H8" s="68">
        <v>154800</v>
      </c>
      <c r="I8" s="69">
        <f t="shared" si="0"/>
        <v>576300</v>
      </c>
    </row>
    <row r="9" spans="1:9" ht="18.600000000000001" customHeight="1" x14ac:dyDescent="0.25">
      <c r="A9" s="67" t="str">
        <f>DAILY!A9</f>
        <v>527 5</v>
      </c>
      <c r="B9" s="68">
        <v>282000</v>
      </c>
      <c r="C9" s="68"/>
      <c r="D9" s="68">
        <v>358000</v>
      </c>
      <c r="E9" s="68"/>
      <c r="F9" s="68"/>
      <c r="G9" s="68"/>
      <c r="H9" s="68"/>
      <c r="I9" s="69">
        <f t="shared" si="0"/>
        <v>640000</v>
      </c>
    </row>
    <row r="10" spans="1:9" ht="18.600000000000001" customHeight="1" x14ac:dyDescent="0.25">
      <c r="A10" s="67" t="str">
        <f>DAILY!A10</f>
        <v>527 6</v>
      </c>
      <c r="B10" s="68">
        <v>361100</v>
      </c>
      <c r="C10" s="68"/>
      <c r="D10" s="68">
        <v>142600</v>
      </c>
      <c r="E10" s="68"/>
      <c r="F10" s="68"/>
      <c r="G10" s="68"/>
      <c r="H10" s="68"/>
      <c r="I10" s="69">
        <f t="shared" si="0"/>
        <v>503700</v>
      </c>
    </row>
    <row r="11" spans="1:9" ht="18.600000000000001" customHeight="1" x14ac:dyDescent="0.25">
      <c r="A11" s="67" t="str">
        <f>DAILY!A11</f>
        <v>527 7</v>
      </c>
      <c r="B11" s="68">
        <v>217500</v>
      </c>
      <c r="C11" s="68"/>
      <c r="D11" s="68">
        <v>236100</v>
      </c>
      <c r="E11" s="68"/>
      <c r="F11" s="68"/>
      <c r="G11" s="68"/>
      <c r="H11" s="68"/>
      <c r="I11" s="69">
        <f t="shared" si="0"/>
        <v>453600</v>
      </c>
    </row>
    <row r="12" spans="1:9" ht="18.600000000000001" customHeight="1" x14ac:dyDescent="0.25">
      <c r="A12" s="67" t="str">
        <f>DAILY!A12</f>
        <v>527 8</v>
      </c>
      <c r="B12" s="68"/>
      <c r="C12" s="68"/>
      <c r="D12" s="68"/>
      <c r="E12" s="68"/>
      <c r="F12" s="68">
        <v>226200</v>
      </c>
      <c r="G12" s="68">
        <v>215800</v>
      </c>
      <c r="H12" s="68">
        <v>200000</v>
      </c>
      <c r="I12" s="69">
        <f t="shared" si="0"/>
        <v>642000</v>
      </c>
    </row>
    <row r="13" spans="1:9" ht="18.600000000000001" customHeight="1" x14ac:dyDescent="0.25">
      <c r="A13" s="67" t="str">
        <f>DAILY!A13</f>
        <v>527 9</v>
      </c>
      <c r="B13" s="68"/>
      <c r="C13" s="68"/>
      <c r="D13" s="68"/>
      <c r="E13" s="68"/>
      <c r="F13" s="68">
        <v>175500</v>
      </c>
      <c r="G13" s="68">
        <v>227700</v>
      </c>
      <c r="H13" s="68">
        <v>55000</v>
      </c>
      <c r="I13" s="69">
        <f t="shared" si="0"/>
        <v>458200</v>
      </c>
    </row>
    <row r="14" spans="1:9" ht="18.600000000000001" customHeight="1" x14ac:dyDescent="0.25">
      <c r="A14" s="67" t="str">
        <f>DAILY!A14</f>
        <v>527 10</v>
      </c>
      <c r="B14" s="68"/>
      <c r="C14" s="68"/>
      <c r="D14" s="68"/>
      <c r="E14" s="68"/>
      <c r="F14" s="68"/>
      <c r="G14" s="68"/>
      <c r="H14" s="68"/>
      <c r="I14" s="69">
        <f t="shared" si="0"/>
        <v>0</v>
      </c>
    </row>
    <row r="15" spans="1:9" ht="18.600000000000001" customHeight="1" x14ac:dyDescent="0.25">
      <c r="A15" s="67" t="str">
        <f>DAILY!A15</f>
        <v>Cheetah</v>
      </c>
      <c r="B15" s="68"/>
      <c r="C15" s="68"/>
      <c r="D15" s="68"/>
      <c r="E15" s="68"/>
      <c r="F15" s="68"/>
      <c r="G15" s="68"/>
      <c r="H15" s="68"/>
      <c r="I15" s="69">
        <f t="shared" si="0"/>
        <v>0</v>
      </c>
    </row>
    <row r="16" spans="1:9" ht="18.600000000000001" customHeight="1" x14ac:dyDescent="0.25">
      <c r="A16" s="67" t="str">
        <f>DAILY!A16</f>
        <v>527 12</v>
      </c>
      <c r="B16" s="68"/>
      <c r="C16" s="68"/>
      <c r="D16" s="68"/>
      <c r="E16" s="68"/>
      <c r="F16" s="68"/>
      <c r="G16" s="68"/>
      <c r="H16" s="68"/>
      <c r="I16" s="69">
        <f t="shared" si="0"/>
        <v>0</v>
      </c>
    </row>
    <row r="17" spans="1:9" ht="18.600000000000001" customHeight="1" x14ac:dyDescent="0.3">
      <c r="A17" s="70" t="s">
        <v>37</v>
      </c>
      <c r="B17" s="71">
        <f t="shared" ref="B17:H17" si="1">SUM(B5:B16)</f>
        <v>860600</v>
      </c>
      <c r="C17" s="71">
        <f t="shared" si="1"/>
        <v>0</v>
      </c>
      <c r="D17" s="71">
        <f t="shared" si="1"/>
        <v>736700</v>
      </c>
      <c r="E17" s="71">
        <f t="shared" si="1"/>
        <v>0</v>
      </c>
      <c r="F17" s="71">
        <f t="shared" si="1"/>
        <v>608200</v>
      </c>
      <c r="G17" s="71">
        <f t="shared" si="1"/>
        <v>658500</v>
      </c>
      <c r="H17" s="71">
        <f t="shared" si="1"/>
        <v>409800</v>
      </c>
      <c r="I17" s="72">
        <f>SUM(B17:H17)</f>
        <v>3273800</v>
      </c>
    </row>
    <row r="18" spans="1:9" ht="5.4" customHeight="1" x14ac:dyDescent="0.3">
      <c r="I18" s="47"/>
    </row>
    <row r="19" spans="1:9" ht="18.600000000000001" customHeight="1" x14ac:dyDescent="0.3">
      <c r="A19" s="67" t="str">
        <f>DAILY!A21</f>
        <v>R-14</v>
      </c>
      <c r="B19" s="73"/>
      <c r="C19" s="73"/>
      <c r="D19" s="73"/>
      <c r="E19" s="73"/>
      <c r="F19" s="73"/>
      <c r="G19" s="73"/>
      <c r="H19" s="73"/>
      <c r="I19" s="72">
        <f>SUM(B19:H19)</f>
        <v>0</v>
      </c>
    </row>
    <row r="20" spans="1:9" ht="6" customHeight="1" x14ac:dyDescent="0.3">
      <c r="I20" s="47"/>
    </row>
    <row r="21" spans="1:9" ht="18.600000000000001" customHeight="1" x14ac:dyDescent="0.25">
      <c r="A21" s="67" t="str">
        <f>DAILY!A25</f>
        <v>102 1</v>
      </c>
      <c r="B21" s="68"/>
      <c r="C21" s="68"/>
      <c r="D21" s="68"/>
      <c r="E21" s="68"/>
      <c r="F21" s="68">
        <v>254000</v>
      </c>
      <c r="G21" s="68">
        <v>0</v>
      </c>
      <c r="H21" s="68">
        <v>246400</v>
      </c>
      <c r="I21" s="69">
        <f t="shared" ref="I21:I26" si="2">SUM(B21:H21)</f>
        <v>500400</v>
      </c>
    </row>
    <row r="22" spans="1:9" ht="18.600000000000001" customHeight="1" x14ac:dyDescent="0.25">
      <c r="A22" s="67" t="str">
        <f>DAILY!A26</f>
        <v>102 2</v>
      </c>
      <c r="B22" s="68">
        <v>502500</v>
      </c>
      <c r="C22" s="68"/>
      <c r="D22" s="68">
        <v>467500</v>
      </c>
      <c r="E22" s="68"/>
      <c r="F22" s="68"/>
      <c r="G22" s="68"/>
      <c r="H22" s="68"/>
      <c r="I22" s="69">
        <f t="shared" si="2"/>
        <v>970000</v>
      </c>
    </row>
    <row r="23" spans="1:9" ht="18.600000000000001" customHeight="1" x14ac:dyDescent="0.25">
      <c r="A23" s="67" t="str">
        <f>DAILY!A27</f>
        <v>102 3</v>
      </c>
      <c r="B23" s="68"/>
      <c r="C23" s="68"/>
      <c r="D23" s="68"/>
      <c r="E23" s="68"/>
      <c r="F23" s="68"/>
      <c r="G23" s="68"/>
      <c r="H23" s="68"/>
      <c r="I23" s="69">
        <f t="shared" si="2"/>
        <v>0</v>
      </c>
    </row>
    <row r="24" spans="1:9" ht="18.600000000000001" customHeight="1" x14ac:dyDescent="0.25">
      <c r="A24" s="67" t="str">
        <f>DAILY!A28</f>
        <v>102 4</v>
      </c>
      <c r="B24" s="68"/>
      <c r="C24" s="68"/>
      <c r="D24" s="68"/>
      <c r="E24" s="68"/>
      <c r="F24" s="68"/>
      <c r="G24" s="68"/>
      <c r="H24" s="68"/>
      <c r="I24" s="69">
        <f t="shared" si="2"/>
        <v>0</v>
      </c>
    </row>
    <row r="25" spans="1:9" ht="18.600000000000001" customHeight="1" x14ac:dyDescent="0.25">
      <c r="A25" s="67" t="str">
        <f>DAILY!A29</f>
        <v>102 5</v>
      </c>
      <c r="B25" s="68"/>
      <c r="C25" s="68"/>
      <c r="D25" s="68"/>
      <c r="E25" s="68"/>
      <c r="F25" s="68"/>
      <c r="G25" s="68"/>
      <c r="H25" s="68"/>
      <c r="I25" s="69">
        <f t="shared" si="2"/>
        <v>0</v>
      </c>
    </row>
    <row r="26" spans="1:9" ht="18.600000000000001" customHeight="1" x14ac:dyDescent="0.3">
      <c r="A26" s="70" t="s">
        <v>36</v>
      </c>
      <c r="B26" s="74">
        <f t="shared" ref="B26:H26" si="3">SUM(B21:B25)</f>
        <v>502500</v>
      </c>
      <c r="C26" s="74">
        <f t="shared" si="3"/>
        <v>0</v>
      </c>
      <c r="D26" s="74">
        <f t="shared" si="3"/>
        <v>467500</v>
      </c>
      <c r="E26" s="74">
        <f t="shared" si="3"/>
        <v>0</v>
      </c>
      <c r="F26" s="74">
        <f t="shared" si="3"/>
        <v>254000</v>
      </c>
      <c r="G26" s="74">
        <f t="shared" si="3"/>
        <v>0</v>
      </c>
      <c r="H26" s="74">
        <f t="shared" si="3"/>
        <v>246400</v>
      </c>
      <c r="I26" s="72">
        <f t="shared" si="2"/>
        <v>1470400</v>
      </c>
    </row>
    <row r="27" spans="1:9" ht="5.4" customHeight="1" x14ac:dyDescent="0.3">
      <c r="I27" s="47"/>
    </row>
    <row r="28" spans="1:9" ht="18.600000000000001" customHeight="1" x14ac:dyDescent="0.25">
      <c r="A28" s="67" t="s">
        <v>82</v>
      </c>
      <c r="B28" s="75">
        <v>571200</v>
      </c>
      <c r="C28" s="75"/>
      <c r="D28" s="75">
        <v>494400</v>
      </c>
      <c r="E28" s="75"/>
      <c r="F28" s="75"/>
      <c r="G28" s="75"/>
      <c r="H28" s="75"/>
      <c r="I28" s="69">
        <f>SUM(B28:H28)</f>
        <v>1065600</v>
      </c>
    </row>
    <row r="29" spans="1:9" ht="18.600000000000001" customHeight="1" x14ac:dyDescent="0.25">
      <c r="A29" s="67" t="s">
        <v>83</v>
      </c>
      <c r="B29" s="75">
        <v>434400</v>
      </c>
      <c r="C29" s="75"/>
      <c r="D29" s="75">
        <v>489600</v>
      </c>
      <c r="E29" s="75"/>
      <c r="F29" s="75"/>
      <c r="G29" s="75"/>
      <c r="H29" s="75"/>
      <c r="I29" s="69">
        <f>SUM(B29:H29)</f>
        <v>924000</v>
      </c>
    </row>
    <row r="30" spans="1:9" ht="18.600000000000001" customHeight="1" x14ac:dyDescent="0.25">
      <c r="A30" s="67" t="s">
        <v>84</v>
      </c>
      <c r="B30" s="75"/>
      <c r="C30" s="75"/>
      <c r="D30" s="75"/>
      <c r="E30" s="75"/>
      <c r="F30" s="75"/>
      <c r="G30" s="75"/>
      <c r="H30" s="75"/>
      <c r="I30" s="69">
        <f>SUM(B30:H30)</f>
        <v>0</v>
      </c>
    </row>
    <row r="31" spans="1:9" ht="18.600000000000001" customHeight="1" x14ac:dyDescent="0.25">
      <c r="A31" s="67" t="s">
        <v>85</v>
      </c>
      <c r="B31" s="75"/>
      <c r="C31" s="75"/>
      <c r="D31" s="75"/>
      <c r="E31" s="75"/>
      <c r="F31" s="75"/>
      <c r="G31" s="75"/>
      <c r="H31" s="75"/>
      <c r="I31" s="69">
        <f>SUM(B31:H31)</f>
        <v>0</v>
      </c>
    </row>
    <row r="32" spans="1:9" ht="18.600000000000001" customHeight="1" x14ac:dyDescent="0.25">
      <c r="A32" s="67" t="s">
        <v>86</v>
      </c>
      <c r="B32" s="68"/>
      <c r="C32" s="68"/>
      <c r="D32" s="68"/>
      <c r="E32" s="68"/>
      <c r="F32" s="68"/>
      <c r="G32" s="68"/>
      <c r="H32" s="68"/>
      <c r="I32" s="69">
        <f>SUM(B32:H32)</f>
        <v>0</v>
      </c>
    </row>
    <row r="33" spans="1:9" ht="18.600000000000001" customHeight="1" x14ac:dyDescent="0.3">
      <c r="A33" s="70" t="s">
        <v>35</v>
      </c>
      <c r="B33" s="74">
        <f t="shared" ref="B33:I33" si="4">SUM(B28:B32)</f>
        <v>1005600</v>
      </c>
      <c r="C33" s="74">
        <f t="shared" si="4"/>
        <v>0</v>
      </c>
      <c r="D33" s="74">
        <f t="shared" si="4"/>
        <v>984000</v>
      </c>
      <c r="E33" s="74">
        <f t="shared" si="4"/>
        <v>0</v>
      </c>
      <c r="F33" s="74">
        <f t="shared" si="4"/>
        <v>0</v>
      </c>
      <c r="G33" s="74">
        <f t="shared" si="4"/>
        <v>0</v>
      </c>
      <c r="H33" s="74">
        <f t="shared" si="4"/>
        <v>0</v>
      </c>
      <c r="I33" s="76">
        <f t="shared" si="4"/>
        <v>1989600</v>
      </c>
    </row>
    <row r="34" spans="1:9" ht="5.4" customHeight="1" x14ac:dyDescent="0.3">
      <c r="A34" s="40"/>
      <c r="B34" s="46"/>
      <c r="C34" s="46"/>
      <c r="D34" s="46"/>
      <c r="E34" s="46"/>
      <c r="F34" s="46"/>
      <c r="G34" s="46"/>
      <c r="H34" s="46"/>
      <c r="I34" s="47"/>
    </row>
    <row r="35" spans="1:9" ht="18.600000000000001" customHeight="1" x14ac:dyDescent="0.3">
      <c r="A35" s="77" t="s">
        <v>34</v>
      </c>
      <c r="B35" s="78">
        <f t="shared" ref="B35:I35" si="5">B17+B19+B26+B33</f>
        <v>2368700</v>
      </c>
      <c r="C35" s="78">
        <f t="shared" si="5"/>
        <v>0</v>
      </c>
      <c r="D35" s="78">
        <f t="shared" si="5"/>
        <v>2188200</v>
      </c>
      <c r="E35" s="78">
        <f t="shared" si="5"/>
        <v>0</v>
      </c>
      <c r="F35" s="78">
        <f t="shared" si="5"/>
        <v>862200</v>
      </c>
      <c r="G35" s="78">
        <f t="shared" si="5"/>
        <v>658500</v>
      </c>
      <c r="H35" s="78">
        <f t="shared" si="5"/>
        <v>656200</v>
      </c>
      <c r="I35" s="78">
        <f t="shared" si="5"/>
        <v>6733800</v>
      </c>
    </row>
    <row r="36" spans="1:9" ht="13.2" customHeight="1" x14ac:dyDescent="0.25">
      <c r="A36" s="177">
        <f>SUM(B35:H35)</f>
        <v>6733800</v>
      </c>
      <c r="B36" s="177"/>
      <c r="C36" s="177"/>
      <c r="D36" s="177"/>
      <c r="E36" s="177"/>
      <c r="F36" s="177"/>
      <c r="G36" s="177"/>
      <c r="H36" s="177"/>
      <c r="I36" s="177"/>
    </row>
    <row r="37" spans="1:9" ht="13.2" customHeight="1" x14ac:dyDescent="0.25">
      <c r="A37" s="177"/>
      <c r="B37" s="177"/>
      <c r="C37" s="177"/>
      <c r="D37" s="177"/>
      <c r="E37" s="177"/>
      <c r="F37" s="177"/>
      <c r="G37" s="177"/>
      <c r="H37" s="177"/>
      <c r="I37" s="177"/>
    </row>
    <row r="38" spans="1:9" ht="13.2" customHeight="1" x14ac:dyDescent="0.25">
      <c r="A38" s="177"/>
      <c r="B38" s="177"/>
      <c r="C38" s="177"/>
      <c r="D38" s="177"/>
      <c r="E38" s="177"/>
      <c r="F38" s="177"/>
      <c r="G38" s="177"/>
      <c r="H38" s="177"/>
      <c r="I38" s="177"/>
    </row>
    <row r="39" spans="1:9" ht="13.2" customHeight="1" x14ac:dyDescent="0.25">
      <c r="A39" s="177"/>
      <c r="B39" s="177"/>
      <c r="C39" s="177"/>
      <c r="D39" s="177"/>
      <c r="E39" s="177"/>
      <c r="F39" s="177"/>
      <c r="G39" s="177"/>
      <c r="H39" s="177"/>
      <c r="I39" s="177"/>
    </row>
  </sheetData>
  <sheetProtection sheet="1" selectLockedCells="1"/>
  <mergeCells count="4">
    <mergeCell ref="A1:G1"/>
    <mergeCell ref="A2:I2"/>
    <mergeCell ref="A3:I3"/>
    <mergeCell ref="A36:I39"/>
  </mergeCells>
  <pageMargins left="0.7" right="0.7" top="0.75" bottom="0.75" header="0.3" footer="0.3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0833B-E183-43DB-9925-410138E39A3D}">
  <sheetPr codeName="Sheet8"/>
  <dimension ref="A1:I39"/>
  <sheetViews>
    <sheetView showGridLines="0" zoomScaleNormal="100" workbookViewId="0">
      <selection activeCell="A2" sqref="A2:I2"/>
    </sheetView>
  </sheetViews>
  <sheetFormatPr defaultColWidth="9.109375" defaultRowHeight="13.2" x14ac:dyDescent="0.25"/>
  <cols>
    <col min="1" max="9" width="14.88671875" style="35" customWidth="1"/>
    <col min="10" max="16384" width="9.109375" style="35"/>
  </cols>
  <sheetData>
    <row r="1" spans="1:9" ht="15.6" x14ac:dyDescent="0.3">
      <c r="A1" s="180"/>
      <c r="B1" s="180"/>
      <c r="C1" s="180"/>
      <c r="D1" s="180"/>
      <c r="E1" s="180"/>
      <c r="F1" s="180"/>
      <c r="G1" s="180"/>
      <c r="H1" s="40"/>
      <c r="I1" s="40"/>
    </row>
    <row r="2" spans="1:9" ht="15.6" x14ac:dyDescent="0.3">
      <c r="A2" s="181">
        <f>SUN!A2+4</f>
        <v>45841</v>
      </c>
      <c r="B2" s="181"/>
      <c r="C2" s="181"/>
      <c r="D2" s="181"/>
      <c r="E2" s="181"/>
      <c r="F2" s="181"/>
      <c r="G2" s="181"/>
      <c r="H2" s="181"/>
      <c r="I2" s="181"/>
    </row>
    <row r="3" spans="1:9" ht="15.6" x14ac:dyDescent="0.3">
      <c r="A3" s="180" t="s">
        <v>46</v>
      </c>
      <c r="B3" s="180"/>
      <c r="C3" s="180"/>
      <c r="D3" s="180"/>
      <c r="E3" s="180"/>
      <c r="F3" s="180"/>
      <c r="G3" s="180"/>
      <c r="H3" s="180"/>
      <c r="I3" s="180"/>
    </row>
    <row r="4" spans="1:9" ht="18.600000000000001" customHeight="1" x14ac:dyDescent="0.3">
      <c r="A4" s="36" t="s">
        <v>45</v>
      </c>
      <c r="B4" s="39" t="s">
        <v>44</v>
      </c>
      <c r="C4" s="39" t="s">
        <v>43</v>
      </c>
      <c r="D4" s="39" t="s">
        <v>42</v>
      </c>
      <c r="E4" s="39" t="s">
        <v>41</v>
      </c>
      <c r="F4" s="38" t="s">
        <v>40</v>
      </c>
      <c r="G4" s="38" t="s">
        <v>39</v>
      </c>
      <c r="H4" s="37" t="s">
        <v>38</v>
      </c>
      <c r="I4" s="36"/>
    </row>
    <row r="5" spans="1:9" ht="18.600000000000001" customHeight="1" x14ac:dyDescent="0.25">
      <c r="A5" s="67" t="str">
        <f>DAILY!A5</f>
        <v>527 1</v>
      </c>
      <c r="B5" s="68"/>
      <c r="C5" s="68"/>
      <c r="D5" s="68"/>
      <c r="E5" s="68"/>
      <c r="F5" s="68"/>
      <c r="G5" s="68"/>
      <c r="H5" s="68"/>
      <c r="I5" s="69">
        <f t="shared" ref="I5:I16" si="0">SUM(B5:H5)</f>
        <v>0</v>
      </c>
    </row>
    <row r="6" spans="1:9" ht="18.600000000000001" customHeight="1" x14ac:dyDescent="0.25">
      <c r="A6" s="67" t="str">
        <f>DAILY!A6</f>
        <v>527 2</v>
      </c>
      <c r="B6" s="68"/>
      <c r="C6" s="68"/>
      <c r="D6" s="68"/>
      <c r="E6" s="68"/>
      <c r="F6" s="68"/>
      <c r="G6" s="68"/>
      <c r="H6" s="68"/>
      <c r="I6" s="69">
        <f t="shared" si="0"/>
        <v>0</v>
      </c>
    </row>
    <row r="7" spans="1:9" ht="18.600000000000001" customHeight="1" x14ac:dyDescent="0.25">
      <c r="A7" s="67" t="str">
        <f>DAILY!A7</f>
        <v>527 3</v>
      </c>
      <c r="B7" s="68"/>
      <c r="C7" s="68"/>
      <c r="D7" s="68"/>
      <c r="E7" s="68"/>
      <c r="F7" s="68"/>
      <c r="G7" s="68"/>
      <c r="H7" s="68"/>
      <c r="I7" s="69">
        <f t="shared" si="0"/>
        <v>0</v>
      </c>
    </row>
    <row r="8" spans="1:9" ht="18.600000000000001" customHeight="1" x14ac:dyDescent="0.25">
      <c r="A8" s="67" t="str">
        <f>DAILY!A8</f>
        <v>527 4</v>
      </c>
      <c r="B8" s="68"/>
      <c r="C8" s="68"/>
      <c r="D8" s="68"/>
      <c r="E8" s="68"/>
      <c r="F8" s="68">
        <v>240000</v>
      </c>
      <c r="G8" s="68">
        <v>218400</v>
      </c>
      <c r="H8" s="68">
        <v>153500</v>
      </c>
      <c r="I8" s="69">
        <f t="shared" si="0"/>
        <v>611900</v>
      </c>
    </row>
    <row r="9" spans="1:9" ht="18.600000000000001" customHeight="1" x14ac:dyDescent="0.25">
      <c r="A9" s="67" t="str">
        <f>DAILY!A9</f>
        <v>527 5</v>
      </c>
      <c r="B9" s="68">
        <v>194000</v>
      </c>
      <c r="C9" s="68"/>
      <c r="D9" s="68">
        <v>30000</v>
      </c>
      <c r="E9" s="68"/>
      <c r="F9" s="68"/>
      <c r="G9" s="68"/>
      <c r="H9" s="68"/>
      <c r="I9" s="69">
        <f t="shared" si="0"/>
        <v>224000</v>
      </c>
    </row>
    <row r="10" spans="1:9" ht="18.600000000000001" customHeight="1" x14ac:dyDescent="0.25">
      <c r="A10" s="67" t="str">
        <f>DAILY!A10</f>
        <v>527 6</v>
      </c>
      <c r="B10" s="68">
        <v>192000</v>
      </c>
      <c r="C10" s="68"/>
      <c r="D10" s="68">
        <v>328800</v>
      </c>
      <c r="E10" s="68"/>
      <c r="F10" s="68"/>
      <c r="G10" s="68"/>
      <c r="H10" s="68"/>
      <c r="I10" s="69">
        <f t="shared" si="0"/>
        <v>520800</v>
      </c>
    </row>
    <row r="11" spans="1:9" ht="18.600000000000001" customHeight="1" x14ac:dyDescent="0.25">
      <c r="A11" s="67" t="str">
        <f>DAILY!A11</f>
        <v>527 7</v>
      </c>
      <c r="B11" s="68">
        <v>182400</v>
      </c>
      <c r="C11" s="68"/>
      <c r="D11" s="68">
        <v>75000</v>
      </c>
      <c r="E11" s="68"/>
      <c r="F11" s="68"/>
      <c r="G11" s="68"/>
      <c r="H11" s="68"/>
      <c r="I11" s="69">
        <f t="shared" si="0"/>
        <v>257400</v>
      </c>
    </row>
    <row r="12" spans="1:9" ht="18.600000000000001" customHeight="1" x14ac:dyDescent="0.25">
      <c r="A12" s="67" t="str">
        <f>DAILY!A12</f>
        <v>527 8</v>
      </c>
      <c r="B12" s="68"/>
      <c r="C12" s="68"/>
      <c r="D12" s="68"/>
      <c r="E12" s="68"/>
      <c r="F12" s="68">
        <v>234800</v>
      </c>
      <c r="G12" s="68">
        <v>213600</v>
      </c>
      <c r="H12" s="68">
        <v>223600</v>
      </c>
      <c r="I12" s="69">
        <f t="shared" si="0"/>
        <v>672000</v>
      </c>
    </row>
    <row r="13" spans="1:9" ht="18.600000000000001" customHeight="1" x14ac:dyDescent="0.25">
      <c r="A13" s="67" t="str">
        <f>DAILY!A13</f>
        <v>527 9</v>
      </c>
      <c r="B13" s="68"/>
      <c r="C13" s="68"/>
      <c r="D13" s="68"/>
      <c r="E13" s="68"/>
      <c r="F13" s="68">
        <v>187200</v>
      </c>
      <c r="G13" s="68">
        <v>70200</v>
      </c>
      <c r="H13" s="68">
        <v>240300</v>
      </c>
      <c r="I13" s="69">
        <f t="shared" si="0"/>
        <v>497700</v>
      </c>
    </row>
    <row r="14" spans="1:9" ht="18.600000000000001" customHeight="1" x14ac:dyDescent="0.25">
      <c r="A14" s="67" t="str">
        <f>DAILY!A14</f>
        <v>527 10</v>
      </c>
      <c r="B14" s="68"/>
      <c r="C14" s="68"/>
      <c r="D14" s="68"/>
      <c r="E14" s="68"/>
      <c r="F14" s="68"/>
      <c r="G14" s="68"/>
      <c r="H14" s="68"/>
      <c r="I14" s="69">
        <f t="shared" si="0"/>
        <v>0</v>
      </c>
    </row>
    <row r="15" spans="1:9" ht="18.600000000000001" customHeight="1" x14ac:dyDescent="0.25">
      <c r="A15" s="67" t="str">
        <f>DAILY!A15</f>
        <v>Cheetah</v>
      </c>
      <c r="B15" s="68"/>
      <c r="C15" s="68"/>
      <c r="D15" s="68"/>
      <c r="E15" s="68"/>
      <c r="F15" s="68"/>
      <c r="G15" s="68"/>
      <c r="H15" s="68"/>
      <c r="I15" s="69">
        <f t="shared" si="0"/>
        <v>0</v>
      </c>
    </row>
    <row r="16" spans="1:9" ht="18.600000000000001" customHeight="1" x14ac:dyDescent="0.25">
      <c r="A16" s="67" t="str">
        <f>DAILY!A16</f>
        <v>527 12</v>
      </c>
      <c r="B16" s="68"/>
      <c r="C16" s="68"/>
      <c r="D16" s="68"/>
      <c r="E16" s="68"/>
      <c r="F16" s="68"/>
      <c r="G16" s="68"/>
      <c r="H16" s="68"/>
      <c r="I16" s="69">
        <f t="shared" si="0"/>
        <v>0</v>
      </c>
    </row>
    <row r="17" spans="1:9" ht="18.600000000000001" customHeight="1" x14ac:dyDescent="0.3">
      <c r="A17" s="70" t="s">
        <v>37</v>
      </c>
      <c r="B17" s="71">
        <f t="shared" ref="B17:H17" si="1">SUM(B5:B16)</f>
        <v>568400</v>
      </c>
      <c r="C17" s="71">
        <f t="shared" si="1"/>
        <v>0</v>
      </c>
      <c r="D17" s="71">
        <f t="shared" si="1"/>
        <v>433800</v>
      </c>
      <c r="E17" s="71">
        <f t="shared" si="1"/>
        <v>0</v>
      </c>
      <c r="F17" s="71">
        <f t="shared" si="1"/>
        <v>662000</v>
      </c>
      <c r="G17" s="71">
        <f t="shared" si="1"/>
        <v>502200</v>
      </c>
      <c r="H17" s="71">
        <f t="shared" si="1"/>
        <v>617400</v>
      </c>
      <c r="I17" s="72">
        <f>SUM(B17:H17)</f>
        <v>2783800</v>
      </c>
    </row>
    <row r="18" spans="1:9" ht="4.95" customHeight="1" x14ac:dyDescent="0.3">
      <c r="I18" s="47"/>
    </row>
    <row r="19" spans="1:9" ht="18.600000000000001" customHeight="1" x14ac:dyDescent="0.3">
      <c r="A19" s="67" t="str">
        <f>DAILY!A21</f>
        <v>R-14</v>
      </c>
      <c r="B19" s="73"/>
      <c r="C19" s="73"/>
      <c r="D19" s="73"/>
      <c r="E19" s="73"/>
      <c r="F19" s="73"/>
      <c r="G19" s="73"/>
      <c r="H19" s="73"/>
      <c r="I19" s="72">
        <f>SUM(B19:H19)</f>
        <v>0</v>
      </c>
    </row>
    <row r="20" spans="1:9" ht="5.4" customHeight="1" x14ac:dyDescent="0.3">
      <c r="I20" s="47"/>
    </row>
    <row r="21" spans="1:9" ht="18.600000000000001" customHeight="1" x14ac:dyDescent="0.25">
      <c r="A21" s="67" t="str">
        <f>DAILY!A25</f>
        <v>102 1</v>
      </c>
      <c r="B21" s="68"/>
      <c r="C21" s="68"/>
      <c r="D21" s="68"/>
      <c r="E21" s="68"/>
      <c r="F21" s="68">
        <v>273600</v>
      </c>
      <c r="G21" s="68">
        <v>266400</v>
      </c>
      <c r="H21" s="68">
        <v>194400</v>
      </c>
      <c r="I21" s="69">
        <f t="shared" ref="I21:I26" si="2">SUM(B21:H21)</f>
        <v>734400</v>
      </c>
    </row>
    <row r="22" spans="1:9" ht="18.600000000000001" customHeight="1" x14ac:dyDescent="0.25">
      <c r="A22" s="67" t="str">
        <f>DAILY!A26</f>
        <v>102 2</v>
      </c>
      <c r="B22" s="68">
        <v>175000</v>
      </c>
      <c r="C22" s="68"/>
      <c r="D22" s="68">
        <v>291000</v>
      </c>
      <c r="E22" s="68"/>
      <c r="F22" s="68"/>
      <c r="G22" s="68"/>
      <c r="H22" s="68"/>
      <c r="I22" s="69">
        <f t="shared" si="2"/>
        <v>466000</v>
      </c>
    </row>
    <row r="23" spans="1:9" ht="18.600000000000001" customHeight="1" x14ac:dyDescent="0.25">
      <c r="A23" s="67" t="str">
        <f>DAILY!A27</f>
        <v>102 3</v>
      </c>
      <c r="B23" s="68"/>
      <c r="C23" s="68"/>
      <c r="D23" s="68"/>
      <c r="E23" s="68"/>
      <c r="F23" s="68"/>
      <c r="G23" s="68"/>
      <c r="H23" s="68"/>
      <c r="I23" s="69">
        <f t="shared" si="2"/>
        <v>0</v>
      </c>
    </row>
    <row r="24" spans="1:9" ht="18.600000000000001" customHeight="1" x14ac:dyDescent="0.25">
      <c r="A24" s="67" t="str">
        <f>DAILY!A28</f>
        <v>102 4</v>
      </c>
      <c r="B24" s="68"/>
      <c r="C24" s="68"/>
      <c r="D24" s="68"/>
      <c r="E24" s="68"/>
      <c r="F24" s="68"/>
      <c r="G24" s="68"/>
      <c r="H24" s="68"/>
      <c r="I24" s="69">
        <f t="shared" si="2"/>
        <v>0</v>
      </c>
    </row>
    <row r="25" spans="1:9" ht="18.600000000000001" customHeight="1" x14ac:dyDescent="0.25">
      <c r="A25" s="67" t="str">
        <f>DAILY!A29</f>
        <v>102 5</v>
      </c>
      <c r="B25" s="68"/>
      <c r="C25" s="68"/>
      <c r="D25" s="68"/>
      <c r="E25" s="68"/>
      <c r="F25" s="68"/>
      <c r="G25" s="68"/>
      <c r="H25" s="68"/>
      <c r="I25" s="69">
        <f t="shared" si="2"/>
        <v>0</v>
      </c>
    </row>
    <row r="26" spans="1:9" ht="18.600000000000001" customHeight="1" x14ac:dyDescent="0.3">
      <c r="A26" s="70" t="s">
        <v>36</v>
      </c>
      <c r="B26" s="74">
        <f t="shared" ref="B26:H26" si="3">SUM(B21:B25)</f>
        <v>175000</v>
      </c>
      <c r="C26" s="74">
        <f t="shared" si="3"/>
        <v>0</v>
      </c>
      <c r="D26" s="74">
        <f t="shared" si="3"/>
        <v>291000</v>
      </c>
      <c r="E26" s="74">
        <f t="shared" si="3"/>
        <v>0</v>
      </c>
      <c r="F26" s="74">
        <f t="shared" si="3"/>
        <v>273600</v>
      </c>
      <c r="G26" s="74">
        <f t="shared" si="3"/>
        <v>266400</v>
      </c>
      <c r="H26" s="74">
        <f t="shared" si="3"/>
        <v>194400</v>
      </c>
      <c r="I26" s="72">
        <f t="shared" si="2"/>
        <v>1200400</v>
      </c>
    </row>
    <row r="27" spans="1:9" ht="4.95" customHeight="1" x14ac:dyDescent="0.3">
      <c r="I27" s="47"/>
    </row>
    <row r="28" spans="1:9" ht="18.600000000000001" customHeight="1" x14ac:dyDescent="0.25">
      <c r="A28" s="67" t="s">
        <v>82</v>
      </c>
      <c r="B28" s="75">
        <v>547200</v>
      </c>
      <c r="C28" s="75"/>
      <c r="D28" s="75">
        <v>535200</v>
      </c>
      <c r="E28" s="75"/>
      <c r="F28" s="75"/>
      <c r="G28" s="75"/>
      <c r="H28" s="75"/>
      <c r="I28" s="69">
        <f>SUM(B28:H28)</f>
        <v>1082400</v>
      </c>
    </row>
    <row r="29" spans="1:9" ht="18.600000000000001" customHeight="1" x14ac:dyDescent="0.25">
      <c r="A29" s="67" t="s">
        <v>83</v>
      </c>
      <c r="B29" s="75">
        <v>475200</v>
      </c>
      <c r="C29" s="75"/>
      <c r="D29" s="75">
        <v>278400</v>
      </c>
      <c r="E29" s="75"/>
      <c r="F29" s="75"/>
      <c r="G29" s="75"/>
      <c r="H29" s="75"/>
      <c r="I29" s="69">
        <f>SUM(B29:H29)</f>
        <v>753600</v>
      </c>
    </row>
    <row r="30" spans="1:9" ht="18.600000000000001" customHeight="1" x14ac:dyDescent="0.25">
      <c r="A30" s="67" t="s">
        <v>84</v>
      </c>
      <c r="B30" s="75"/>
      <c r="C30" s="75"/>
      <c r="D30" s="75"/>
      <c r="E30" s="75"/>
      <c r="F30" s="75"/>
      <c r="G30" s="75"/>
      <c r="H30" s="75"/>
      <c r="I30" s="69">
        <f>SUM(B30:H30)</f>
        <v>0</v>
      </c>
    </row>
    <row r="31" spans="1:9" ht="18.600000000000001" customHeight="1" x14ac:dyDescent="0.25">
      <c r="A31" s="67" t="s">
        <v>85</v>
      </c>
      <c r="B31" s="75"/>
      <c r="C31" s="75"/>
      <c r="D31" s="75"/>
      <c r="E31" s="75"/>
      <c r="F31" s="75"/>
      <c r="G31" s="75"/>
      <c r="H31" s="75"/>
      <c r="I31" s="69">
        <f>SUM(B31:H31)</f>
        <v>0</v>
      </c>
    </row>
    <row r="32" spans="1:9" ht="18.600000000000001" customHeight="1" x14ac:dyDescent="0.25">
      <c r="A32" s="67" t="s">
        <v>86</v>
      </c>
      <c r="B32" s="68"/>
      <c r="C32" s="68"/>
      <c r="D32" s="68"/>
      <c r="E32" s="68"/>
      <c r="F32" s="68"/>
      <c r="G32" s="68"/>
      <c r="H32" s="68"/>
      <c r="I32" s="69">
        <f>SUM(B32:H32)</f>
        <v>0</v>
      </c>
    </row>
    <row r="33" spans="1:9" ht="18.600000000000001" customHeight="1" x14ac:dyDescent="0.3">
      <c r="A33" s="70" t="s">
        <v>35</v>
      </c>
      <c r="B33" s="74">
        <f t="shared" ref="B33:I33" si="4">SUM(B28:B32)</f>
        <v>1022400</v>
      </c>
      <c r="C33" s="74">
        <f t="shared" si="4"/>
        <v>0</v>
      </c>
      <c r="D33" s="74">
        <f t="shared" si="4"/>
        <v>813600</v>
      </c>
      <c r="E33" s="74">
        <f t="shared" si="4"/>
        <v>0</v>
      </c>
      <c r="F33" s="74">
        <f t="shared" si="4"/>
        <v>0</v>
      </c>
      <c r="G33" s="74">
        <f t="shared" si="4"/>
        <v>0</v>
      </c>
      <c r="H33" s="74">
        <f t="shared" si="4"/>
        <v>0</v>
      </c>
      <c r="I33" s="76">
        <f t="shared" si="4"/>
        <v>1836000</v>
      </c>
    </row>
    <row r="34" spans="1:9" ht="4.95" customHeight="1" x14ac:dyDescent="0.3">
      <c r="A34" s="40"/>
      <c r="B34" s="46"/>
      <c r="C34" s="46"/>
      <c r="D34" s="46"/>
      <c r="E34" s="46"/>
      <c r="F34" s="46"/>
      <c r="G34" s="46"/>
      <c r="H34" s="46"/>
      <c r="I34" s="47"/>
    </row>
    <row r="35" spans="1:9" ht="18.600000000000001" customHeight="1" x14ac:dyDescent="0.3">
      <c r="A35" s="77" t="s">
        <v>34</v>
      </c>
      <c r="B35" s="78">
        <f t="shared" ref="B35:I35" si="5">B17+B19+B26+B33</f>
        <v>1765800</v>
      </c>
      <c r="C35" s="78">
        <f t="shared" si="5"/>
        <v>0</v>
      </c>
      <c r="D35" s="78">
        <f t="shared" si="5"/>
        <v>1538400</v>
      </c>
      <c r="E35" s="78">
        <f t="shared" si="5"/>
        <v>0</v>
      </c>
      <c r="F35" s="78">
        <f t="shared" si="5"/>
        <v>935600</v>
      </c>
      <c r="G35" s="78">
        <f t="shared" si="5"/>
        <v>768600</v>
      </c>
      <c r="H35" s="78">
        <f t="shared" si="5"/>
        <v>811800</v>
      </c>
      <c r="I35" s="78">
        <f t="shared" si="5"/>
        <v>5820200</v>
      </c>
    </row>
    <row r="36" spans="1:9" ht="13.2" customHeight="1" x14ac:dyDescent="0.25">
      <c r="A36" s="177">
        <f>SUM(B35:H35)</f>
        <v>5820200</v>
      </c>
      <c r="B36" s="177"/>
      <c r="C36" s="177"/>
      <c r="D36" s="177"/>
      <c r="E36" s="177"/>
      <c r="F36" s="177"/>
      <c r="G36" s="177"/>
      <c r="H36" s="177"/>
      <c r="I36" s="177"/>
    </row>
    <row r="37" spans="1:9" ht="13.2" customHeight="1" x14ac:dyDescent="0.25">
      <c r="A37" s="177"/>
      <c r="B37" s="177"/>
      <c r="C37" s="177"/>
      <c r="D37" s="177"/>
      <c r="E37" s="177"/>
      <c r="F37" s="177"/>
      <c r="G37" s="177"/>
      <c r="H37" s="177"/>
      <c r="I37" s="177"/>
    </row>
    <row r="38" spans="1:9" ht="13.2" customHeight="1" x14ac:dyDescent="0.25">
      <c r="A38" s="177"/>
      <c r="B38" s="177"/>
      <c r="C38" s="177"/>
      <c r="D38" s="177"/>
      <c r="E38" s="177"/>
      <c r="F38" s="177"/>
      <c r="G38" s="177"/>
      <c r="H38" s="177"/>
      <c r="I38" s="177"/>
    </row>
    <row r="39" spans="1:9" ht="13.2" customHeight="1" x14ac:dyDescent="0.25">
      <c r="A39" s="177"/>
      <c r="B39" s="177"/>
      <c r="C39" s="177"/>
      <c r="D39" s="177"/>
      <c r="E39" s="177"/>
      <c r="F39" s="177"/>
      <c r="G39" s="177"/>
      <c r="H39" s="177"/>
      <c r="I39" s="177"/>
    </row>
  </sheetData>
  <sheetProtection sheet="1" selectLockedCells="1"/>
  <mergeCells count="4">
    <mergeCell ref="A1:G1"/>
    <mergeCell ref="A2:I2"/>
    <mergeCell ref="A3:I3"/>
    <mergeCell ref="A36:I39"/>
  </mergeCells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C31-FEBC-4795-AD2D-56B985977F4E}">
  <sheetPr codeName="Sheet9"/>
  <dimension ref="A1:I39"/>
  <sheetViews>
    <sheetView showGridLines="0" zoomScaleNormal="100" workbookViewId="0">
      <selection activeCell="A2" sqref="A2:I2"/>
    </sheetView>
  </sheetViews>
  <sheetFormatPr defaultColWidth="9.109375" defaultRowHeight="13.2" x14ac:dyDescent="0.25"/>
  <cols>
    <col min="1" max="9" width="14.88671875" style="35" customWidth="1"/>
    <col min="10" max="16384" width="9.109375" style="35"/>
  </cols>
  <sheetData>
    <row r="1" spans="1:9" ht="15.6" x14ac:dyDescent="0.3">
      <c r="A1" s="180"/>
      <c r="B1" s="180"/>
      <c r="C1" s="180"/>
      <c r="D1" s="180"/>
      <c r="E1" s="180"/>
      <c r="F1" s="180"/>
      <c r="G1" s="180"/>
      <c r="H1" s="40"/>
      <c r="I1" s="40"/>
    </row>
    <row r="2" spans="1:9" ht="15.6" x14ac:dyDescent="0.3">
      <c r="A2" s="181">
        <f>SUN!A2+5</f>
        <v>45842</v>
      </c>
      <c r="B2" s="181"/>
      <c r="C2" s="181"/>
      <c r="D2" s="181"/>
      <c r="E2" s="181"/>
      <c r="F2" s="181"/>
      <c r="G2" s="181"/>
      <c r="H2" s="181"/>
      <c r="I2" s="181"/>
    </row>
    <row r="3" spans="1:9" ht="15.6" x14ac:dyDescent="0.3">
      <c r="A3" s="180" t="s">
        <v>46</v>
      </c>
      <c r="B3" s="180"/>
      <c r="C3" s="180"/>
      <c r="D3" s="180"/>
      <c r="E3" s="180"/>
      <c r="F3" s="180"/>
      <c r="G3" s="180"/>
      <c r="H3" s="180"/>
      <c r="I3" s="180"/>
    </row>
    <row r="4" spans="1:9" ht="18.600000000000001" customHeight="1" x14ac:dyDescent="0.3">
      <c r="A4" s="36" t="s">
        <v>45</v>
      </c>
      <c r="B4" s="39" t="s">
        <v>44</v>
      </c>
      <c r="C4" s="39" t="s">
        <v>43</v>
      </c>
      <c r="D4" s="39" t="s">
        <v>42</v>
      </c>
      <c r="E4" s="39" t="s">
        <v>41</v>
      </c>
      <c r="F4" s="38" t="s">
        <v>40</v>
      </c>
      <c r="G4" s="38" t="s">
        <v>39</v>
      </c>
      <c r="H4" s="37" t="s">
        <v>38</v>
      </c>
      <c r="I4" s="36"/>
    </row>
    <row r="5" spans="1:9" ht="18.600000000000001" customHeight="1" x14ac:dyDescent="0.25">
      <c r="A5" s="67" t="str">
        <f>DAILY!A5</f>
        <v>527 1</v>
      </c>
      <c r="B5" s="68"/>
      <c r="C5" s="68"/>
      <c r="D5" s="68"/>
      <c r="E5" s="68"/>
      <c r="F5" s="68"/>
      <c r="G5" s="68"/>
      <c r="H5" s="68"/>
      <c r="I5" s="69">
        <f t="shared" ref="I5:I16" si="0">SUM(B5:H5)</f>
        <v>0</v>
      </c>
    </row>
    <row r="6" spans="1:9" ht="18.600000000000001" customHeight="1" x14ac:dyDescent="0.25">
      <c r="A6" s="67" t="str">
        <f>DAILY!A6</f>
        <v>527 2</v>
      </c>
      <c r="B6" s="68"/>
      <c r="C6" s="68"/>
      <c r="D6" s="68"/>
      <c r="E6" s="68"/>
      <c r="F6" s="68"/>
      <c r="G6" s="68"/>
      <c r="H6" s="68"/>
      <c r="I6" s="69">
        <f t="shared" si="0"/>
        <v>0</v>
      </c>
    </row>
    <row r="7" spans="1:9" ht="18.600000000000001" customHeight="1" x14ac:dyDescent="0.25">
      <c r="A7" s="67" t="str">
        <f>DAILY!A7</f>
        <v>527 3</v>
      </c>
      <c r="B7" s="68"/>
      <c r="C7" s="68"/>
      <c r="D7" s="68"/>
      <c r="E7" s="68"/>
      <c r="F7" s="68"/>
      <c r="G7" s="68"/>
      <c r="H7" s="68"/>
      <c r="I7" s="69">
        <f t="shared" si="0"/>
        <v>0</v>
      </c>
    </row>
    <row r="8" spans="1:9" ht="18.600000000000001" customHeight="1" x14ac:dyDescent="0.25">
      <c r="A8" s="67" t="str">
        <f>DAILY!A8</f>
        <v>527 4</v>
      </c>
      <c r="B8" s="68"/>
      <c r="C8" s="68"/>
      <c r="D8" s="68"/>
      <c r="E8" s="68"/>
      <c r="F8" s="68"/>
      <c r="G8" s="68">
        <v>252000</v>
      </c>
      <c r="H8" s="68">
        <v>170800</v>
      </c>
      <c r="I8" s="69">
        <f t="shared" si="0"/>
        <v>422800</v>
      </c>
    </row>
    <row r="9" spans="1:9" ht="18.600000000000001" customHeight="1" x14ac:dyDescent="0.25">
      <c r="A9" s="67" t="str">
        <f>DAILY!A9</f>
        <v>527 5</v>
      </c>
      <c r="B9" s="68"/>
      <c r="C9" s="68">
        <v>168000</v>
      </c>
      <c r="D9" s="68"/>
      <c r="E9" s="68">
        <v>384000</v>
      </c>
      <c r="F9" s="68"/>
      <c r="G9" s="68"/>
      <c r="H9" s="68"/>
      <c r="I9" s="69">
        <f t="shared" si="0"/>
        <v>552000</v>
      </c>
    </row>
    <row r="10" spans="1:9" ht="18.600000000000001" customHeight="1" x14ac:dyDescent="0.25">
      <c r="A10" s="67" t="str">
        <f>DAILY!A10</f>
        <v>527 6</v>
      </c>
      <c r="B10" s="68"/>
      <c r="C10" s="68">
        <v>227700</v>
      </c>
      <c r="D10" s="68"/>
      <c r="E10" s="68">
        <v>156400</v>
      </c>
      <c r="F10" s="68"/>
      <c r="G10" s="68"/>
      <c r="H10" s="68"/>
      <c r="I10" s="69">
        <f t="shared" si="0"/>
        <v>384100</v>
      </c>
    </row>
    <row r="11" spans="1:9" ht="18.600000000000001" customHeight="1" x14ac:dyDescent="0.25">
      <c r="A11" s="67" t="str">
        <f>DAILY!A11</f>
        <v>527 7</v>
      </c>
      <c r="B11" s="68"/>
      <c r="C11" s="68">
        <v>213600</v>
      </c>
      <c r="D11" s="68"/>
      <c r="E11" s="68">
        <v>108000</v>
      </c>
      <c r="F11" s="68"/>
      <c r="G11" s="68"/>
      <c r="H11" s="68"/>
      <c r="I11" s="69">
        <f t="shared" si="0"/>
        <v>321600</v>
      </c>
    </row>
    <row r="12" spans="1:9" ht="18.600000000000001" customHeight="1" x14ac:dyDescent="0.25">
      <c r="A12" s="67" t="str">
        <f>DAILY!A12</f>
        <v>527 8</v>
      </c>
      <c r="B12" s="68"/>
      <c r="C12" s="68"/>
      <c r="D12" s="68"/>
      <c r="E12" s="68"/>
      <c r="F12" s="68">
        <v>245000</v>
      </c>
      <c r="G12" s="68">
        <v>235000</v>
      </c>
      <c r="H12" s="68">
        <v>232500</v>
      </c>
      <c r="I12" s="69">
        <f t="shared" si="0"/>
        <v>712500</v>
      </c>
    </row>
    <row r="13" spans="1:9" ht="18.600000000000001" customHeight="1" x14ac:dyDescent="0.25">
      <c r="A13" s="67" t="str">
        <f>DAILY!A13</f>
        <v>527 9</v>
      </c>
      <c r="B13" s="68"/>
      <c r="C13" s="68"/>
      <c r="D13" s="68"/>
      <c r="E13" s="68"/>
      <c r="F13" s="68">
        <v>189000</v>
      </c>
      <c r="G13" s="68">
        <v>140000</v>
      </c>
      <c r="H13" s="68">
        <v>51800</v>
      </c>
      <c r="I13" s="69">
        <f t="shared" si="0"/>
        <v>380800</v>
      </c>
    </row>
    <row r="14" spans="1:9" ht="18.600000000000001" customHeight="1" x14ac:dyDescent="0.25">
      <c r="A14" s="67" t="str">
        <f>DAILY!A14</f>
        <v>527 10</v>
      </c>
      <c r="B14" s="68"/>
      <c r="C14" s="68"/>
      <c r="D14" s="68"/>
      <c r="E14" s="68"/>
      <c r="F14" s="68"/>
      <c r="G14" s="68"/>
      <c r="H14" s="68"/>
      <c r="I14" s="69">
        <f t="shared" si="0"/>
        <v>0</v>
      </c>
    </row>
    <row r="15" spans="1:9" ht="18.600000000000001" customHeight="1" x14ac:dyDescent="0.25">
      <c r="A15" s="67" t="str">
        <f>DAILY!A15</f>
        <v>Cheetah</v>
      </c>
      <c r="B15" s="68"/>
      <c r="C15" s="68"/>
      <c r="D15" s="68"/>
      <c r="E15" s="68"/>
      <c r="F15" s="68"/>
      <c r="G15" s="68"/>
      <c r="H15" s="68"/>
      <c r="I15" s="69">
        <f t="shared" si="0"/>
        <v>0</v>
      </c>
    </row>
    <row r="16" spans="1:9" ht="18.600000000000001" customHeight="1" x14ac:dyDescent="0.25">
      <c r="A16" s="67" t="str">
        <f>DAILY!A16</f>
        <v>527 12</v>
      </c>
      <c r="B16" s="68"/>
      <c r="C16" s="68"/>
      <c r="D16" s="68"/>
      <c r="E16" s="68"/>
      <c r="F16" s="68"/>
      <c r="G16" s="68"/>
      <c r="H16" s="68"/>
      <c r="I16" s="69">
        <f t="shared" si="0"/>
        <v>0</v>
      </c>
    </row>
    <row r="17" spans="1:9" ht="18.600000000000001" customHeight="1" x14ac:dyDescent="0.3">
      <c r="A17" s="70" t="s">
        <v>37</v>
      </c>
      <c r="B17" s="71">
        <f t="shared" ref="B17:H17" si="1">SUM(B5:B16)</f>
        <v>0</v>
      </c>
      <c r="C17" s="71">
        <f t="shared" si="1"/>
        <v>609300</v>
      </c>
      <c r="D17" s="71">
        <f t="shared" si="1"/>
        <v>0</v>
      </c>
      <c r="E17" s="71">
        <f t="shared" si="1"/>
        <v>648400</v>
      </c>
      <c r="F17" s="71">
        <f t="shared" si="1"/>
        <v>434000</v>
      </c>
      <c r="G17" s="71">
        <f t="shared" si="1"/>
        <v>627000</v>
      </c>
      <c r="H17" s="71">
        <f t="shared" si="1"/>
        <v>455100</v>
      </c>
      <c r="I17" s="72">
        <f>SUM(B17:H17)</f>
        <v>2773800</v>
      </c>
    </row>
    <row r="18" spans="1:9" ht="6" customHeight="1" x14ac:dyDescent="0.3">
      <c r="I18" s="47"/>
    </row>
    <row r="19" spans="1:9" ht="18.600000000000001" customHeight="1" x14ac:dyDescent="0.3">
      <c r="A19" s="67" t="str">
        <f>DAILY!A21</f>
        <v>R-14</v>
      </c>
      <c r="B19" s="73"/>
      <c r="C19" s="73"/>
      <c r="D19" s="73"/>
      <c r="E19" s="73"/>
      <c r="F19" s="73"/>
      <c r="G19" s="73"/>
      <c r="H19" s="73"/>
      <c r="I19" s="72">
        <f>SUM(B19:H19)</f>
        <v>0</v>
      </c>
    </row>
    <row r="20" spans="1:9" ht="5.4" customHeight="1" x14ac:dyDescent="0.3">
      <c r="I20" s="47"/>
    </row>
    <row r="21" spans="1:9" ht="18.600000000000001" customHeight="1" x14ac:dyDescent="0.25">
      <c r="A21" s="67" t="str">
        <f>DAILY!A25</f>
        <v>102 1</v>
      </c>
      <c r="B21" s="68"/>
      <c r="C21" s="68"/>
      <c r="D21" s="68"/>
      <c r="E21" s="68"/>
      <c r="F21" s="68">
        <v>254800</v>
      </c>
      <c r="G21" s="68">
        <v>212800</v>
      </c>
      <c r="H21" s="68">
        <v>179200</v>
      </c>
      <c r="I21" s="69">
        <f t="shared" ref="I21:I26" si="2">SUM(B21:H21)</f>
        <v>646800</v>
      </c>
    </row>
    <row r="22" spans="1:9" ht="18.600000000000001" customHeight="1" x14ac:dyDescent="0.25">
      <c r="A22" s="67" t="str">
        <f>DAILY!A26</f>
        <v>102 2</v>
      </c>
      <c r="B22" s="68"/>
      <c r="C22" s="68">
        <v>370000</v>
      </c>
      <c r="D22" s="68"/>
      <c r="E22" s="68">
        <v>417500</v>
      </c>
      <c r="F22" s="68"/>
      <c r="G22" s="68"/>
      <c r="H22" s="68"/>
      <c r="I22" s="69">
        <f t="shared" si="2"/>
        <v>787500</v>
      </c>
    </row>
    <row r="23" spans="1:9" ht="18.600000000000001" customHeight="1" x14ac:dyDescent="0.25">
      <c r="A23" s="67" t="str">
        <f>DAILY!A27</f>
        <v>102 3</v>
      </c>
      <c r="B23" s="68"/>
      <c r="C23" s="68"/>
      <c r="D23" s="68"/>
      <c r="E23" s="68"/>
      <c r="F23" s="68"/>
      <c r="G23" s="68"/>
      <c r="H23" s="68"/>
      <c r="I23" s="69">
        <f t="shared" si="2"/>
        <v>0</v>
      </c>
    </row>
    <row r="24" spans="1:9" ht="18.600000000000001" customHeight="1" x14ac:dyDescent="0.25">
      <c r="A24" s="67" t="str">
        <f>DAILY!A28</f>
        <v>102 4</v>
      </c>
      <c r="B24" s="68"/>
      <c r="C24" s="68"/>
      <c r="D24" s="68"/>
      <c r="E24" s="68"/>
      <c r="F24" s="68"/>
      <c r="G24" s="68"/>
      <c r="H24" s="68"/>
      <c r="I24" s="69">
        <f t="shared" si="2"/>
        <v>0</v>
      </c>
    </row>
    <row r="25" spans="1:9" ht="18.600000000000001" customHeight="1" x14ac:dyDescent="0.25">
      <c r="A25" s="67" t="str">
        <f>DAILY!A29</f>
        <v>102 5</v>
      </c>
      <c r="B25" s="68"/>
      <c r="C25" s="68"/>
      <c r="D25" s="68"/>
      <c r="E25" s="68"/>
      <c r="F25" s="68"/>
      <c r="G25" s="68"/>
      <c r="H25" s="68"/>
      <c r="I25" s="69">
        <f t="shared" si="2"/>
        <v>0</v>
      </c>
    </row>
    <row r="26" spans="1:9" ht="18.600000000000001" customHeight="1" x14ac:dyDescent="0.3">
      <c r="A26" s="70" t="s">
        <v>36</v>
      </c>
      <c r="B26" s="74">
        <f t="shared" ref="B26:H26" si="3">SUM(B21:B25)</f>
        <v>0</v>
      </c>
      <c r="C26" s="74">
        <f t="shared" si="3"/>
        <v>370000</v>
      </c>
      <c r="D26" s="74">
        <f t="shared" si="3"/>
        <v>0</v>
      </c>
      <c r="E26" s="74">
        <f t="shared" si="3"/>
        <v>417500</v>
      </c>
      <c r="F26" s="74">
        <f t="shared" si="3"/>
        <v>254800</v>
      </c>
      <c r="G26" s="74">
        <f t="shared" si="3"/>
        <v>212800</v>
      </c>
      <c r="H26" s="74">
        <f t="shared" si="3"/>
        <v>179200</v>
      </c>
      <c r="I26" s="72">
        <f t="shared" si="2"/>
        <v>1434300</v>
      </c>
    </row>
    <row r="27" spans="1:9" ht="6" customHeight="1" x14ac:dyDescent="0.3">
      <c r="I27" s="47"/>
    </row>
    <row r="28" spans="1:9" ht="18.600000000000001" customHeight="1" x14ac:dyDescent="0.25">
      <c r="A28" s="67" t="s">
        <v>82</v>
      </c>
      <c r="B28" s="75"/>
      <c r="C28" s="75">
        <v>520800</v>
      </c>
      <c r="D28" s="75"/>
      <c r="E28" s="75">
        <v>624000</v>
      </c>
      <c r="F28" s="75"/>
      <c r="G28" s="75"/>
      <c r="H28" s="75"/>
      <c r="I28" s="69">
        <f>SUM(B28:H28)</f>
        <v>1144800</v>
      </c>
    </row>
    <row r="29" spans="1:9" ht="18.600000000000001" customHeight="1" x14ac:dyDescent="0.25">
      <c r="A29" s="67" t="s">
        <v>83</v>
      </c>
      <c r="B29" s="75"/>
      <c r="C29" s="75">
        <v>343200</v>
      </c>
      <c r="D29" s="75"/>
      <c r="E29" s="75">
        <v>528000</v>
      </c>
      <c r="F29" s="75"/>
      <c r="G29" s="75"/>
      <c r="H29" s="75"/>
      <c r="I29" s="69">
        <f>SUM(B29:H29)</f>
        <v>871200</v>
      </c>
    </row>
    <row r="30" spans="1:9" ht="18.600000000000001" customHeight="1" x14ac:dyDescent="0.25">
      <c r="A30" s="67" t="s">
        <v>84</v>
      </c>
      <c r="B30" s="75"/>
      <c r="C30" s="75"/>
      <c r="D30" s="75"/>
      <c r="E30" s="75"/>
      <c r="F30" s="75"/>
      <c r="G30" s="75"/>
      <c r="H30" s="75"/>
      <c r="I30" s="69">
        <f>SUM(B30:H30)</f>
        <v>0</v>
      </c>
    </row>
    <row r="31" spans="1:9" ht="18.600000000000001" customHeight="1" x14ac:dyDescent="0.25">
      <c r="A31" s="67" t="s">
        <v>85</v>
      </c>
      <c r="B31" s="75"/>
      <c r="C31" s="75"/>
      <c r="D31" s="75"/>
      <c r="E31" s="75"/>
      <c r="F31" s="75"/>
      <c r="G31" s="75"/>
      <c r="H31" s="75"/>
      <c r="I31" s="69">
        <f>SUM(B31:H31)</f>
        <v>0</v>
      </c>
    </row>
    <row r="32" spans="1:9" ht="18.600000000000001" customHeight="1" x14ac:dyDescent="0.25">
      <c r="A32" s="67" t="s">
        <v>86</v>
      </c>
      <c r="B32" s="68"/>
      <c r="C32" s="68"/>
      <c r="D32" s="68"/>
      <c r="E32" s="68"/>
      <c r="F32" s="68"/>
      <c r="G32" s="68"/>
      <c r="H32" s="68"/>
      <c r="I32" s="69">
        <f>SUM(B32:H32)</f>
        <v>0</v>
      </c>
    </row>
    <row r="33" spans="1:9" ht="18.600000000000001" customHeight="1" x14ac:dyDescent="0.3">
      <c r="A33" s="70" t="s">
        <v>35</v>
      </c>
      <c r="B33" s="74">
        <f t="shared" ref="B33:I33" si="4">SUM(B28:B32)</f>
        <v>0</v>
      </c>
      <c r="C33" s="74">
        <f t="shared" si="4"/>
        <v>864000</v>
      </c>
      <c r="D33" s="74">
        <f t="shared" si="4"/>
        <v>0</v>
      </c>
      <c r="E33" s="74">
        <f t="shared" si="4"/>
        <v>1152000</v>
      </c>
      <c r="F33" s="74">
        <f t="shared" si="4"/>
        <v>0</v>
      </c>
      <c r="G33" s="74">
        <f t="shared" si="4"/>
        <v>0</v>
      </c>
      <c r="H33" s="74">
        <f t="shared" si="4"/>
        <v>0</v>
      </c>
      <c r="I33" s="76">
        <f t="shared" si="4"/>
        <v>2016000</v>
      </c>
    </row>
    <row r="34" spans="1:9" ht="6" customHeight="1" x14ac:dyDescent="0.3">
      <c r="A34" s="40"/>
      <c r="B34" s="46"/>
      <c r="C34" s="46"/>
      <c r="D34" s="46"/>
      <c r="E34" s="46"/>
      <c r="F34" s="46"/>
      <c r="G34" s="46"/>
      <c r="H34" s="46"/>
      <c r="I34" s="47"/>
    </row>
    <row r="35" spans="1:9" ht="18.600000000000001" customHeight="1" x14ac:dyDescent="0.3">
      <c r="A35" s="77" t="s">
        <v>34</v>
      </c>
      <c r="B35" s="78">
        <f t="shared" ref="B35:I35" si="5">B17+B19+B26+B33</f>
        <v>0</v>
      </c>
      <c r="C35" s="78">
        <f t="shared" si="5"/>
        <v>1843300</v>
      </c>
      <c r="D35" s="78">
        <f t="shared" si="5"/>
        <v>0</v>
      </c>
      <c r="E35" s="78">
        <f t="shared" si="5"/>
        <v>2217900</v>
      </c>
      <c r="F35" s="78">
        <f t="shared" si="5"/>
        <v>688800</v>
      </c>
      <c r="G35" s="78">
        <f t="shared" si="5"/>
        <v>839800</v>
      </c>
      <c r="H35" s="78">
        <f t="shared" si="5"/>
        <v>634300</v>
      </c>
      <c r="I35" s="78">
        <f t="shared" si="5"/>
        <v>6224100</v>
      </c>
    </row>
    <row r="36" spans="1:9" ht="13.2" customHeight="1" x14ac:dyDescent="0.25">
      <c r="A36" s="177">
        <f>SUM(B35:H35)</f>
        <v>6224100</v>
      </c>
      <c r="B36" s="177"/>
      <c r="C36" s="177"/>
      <c r="D36" s="177"/>
      <c r="E36" s="177"/>
      <c r="F36" s="177"/>
      <c r="G36" s="177"/>
      <c r="H36" s="177"/>
      <c r="I36" s="177"/>
    </row>
    <row r="37" spans="1:9" ht="13.2" customHeight="1" x14ac:dyDescent="0.25">
      <c r="A37" s="177"/>
      <c r="B37" s="177"/>
      <c r="C37" s="177"/>
      <c r="D37" s="177"/>
      <c r="E37" s="177"/>
      <c r="F37" s="177"/>
      <c r="G37" s="177"/>
      <c r="H37" s="177"/>
      <c r="I37" s="177"/>
    </row>
    <row r="38" spans="1:9" ht="13.2" customHeight="1" x14ac:dyDescent="0.25">
      <c r="A38" s="177"/>
      <c r="B38" s="177"/>
      <c r="C38" s="177"/>
      <c r="D38" s="177"/>
      <c r="E38" s="177"/>
      <c r="F38" s="177"/>
      <c r="G38" s="177"/>
      <c r="H38" s="177"/>
      <c r="I38" s="177"/>
    </row>
    <row r="39" spans="1:9" ht="13.2" customHeight="1" x14ac:dyDescent="0.25">
      <c r="A39" s="177"/>
      <c r="B39" s="177"/>
      <c r="C39" s="177"/>
      <c r="D39" s="177"/>
      <c r="E39" s="177"/>
      <c r="F39" s="177"/>
      <c r="G39" s="177"/>
      <c r="H39" s="177"/>
      <c r="I39" s="177"/>
    </row>
  </sheetData>
  <sheetProtection sheet="1" selectLockedCells="1"/>
  <mergeCells count="4">
    <mergeCell ref="A1:G1"/>
    <mergeCell ref="A2:I2"/>
    <mergeCell ref="A3:I3"/>
    <mergeCell ref="A36:I39"/>
  </mergeCells>
  <pageMargins left="0.7" right="0.7" top="0.75" bottom="0.75" header="0.3" footer="0.3"/>
  <pageSetup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45B1-531C-431A-AB40-A76B135FD702}">
  <sheetPr codeName="Sheet10"/>
  <dimension ref="A1:I39"/>
  <sheetViews>
    <sheetView showGridLines="0" zoomScaleNormal="100" workbookViewId="0">
      <selection activeCell="A2" sqref="A2:I2"/>
    </sheetView>
  </sheetViews>
  <sheetFormatPr defaultColWidth="9.109375" defaultRowHeight="13.2" x14ac:dyDescent="0.25"/>
  <cols>
    <col min="1" max="9" width="14.88671875" style="35" customWidth="1"/>
    <col min="10" max="16384" width="9.109375" style="35"/>
  </cols>
  <sheetData>
    <row r="1" spans="1:9" ht="15.6" x14ac:dyDescent="0.3">
      <c r="A1" s="180"/>
      <c r="B1" s="180"/>
      <c r="C1" s="180"/>
      <c r="D1" s="180"/>
      <c r="E1" s="180"/>
      <c r="F1" s="180"/>
      <c r="G1" s="180"/>
      <c r="H1" s="40"/>
      <c r="I1" s="40"/>
    </row>
    <row r="2" spans="1:9" ht="15.6" x14ac:dyDescent="0.3">
      <c r="A2" s="181">
        <f>SUN!A2+6</f>
        <v>45843</v>
      </c>
      <c r="B2" s="181"/>
      <c r="C2" s="181"/>
      <c r="D2" s="181"/>
      <c r="E2" s="181"/>
      <c r="F2" s="181"/>
      <c r="G2" s="181"/>
      <c r="H2" s="181"/>
      <c r="I2" s="181"/>
    </row>
    <row r="3" spans="1:9" ht="15.6" x14ac:dyDescent="0.3">
      <c r="A3" s="180" t="s">
        <v>46</v>
      </c>
      <c r="B3" s="180"/>
      <c r="C3" s="180"/>
      <c r="D3" s="180"/>
      <c r="E3" s="180"/>
      <c r="F3" s="180"/>
      <c r="G3" s="180"/>
      <c r="H3" s="180"/>
      <c r="I3" s="180"/>
    </row>
    <row r="4" spans="1:9" ht="18.600000000000001" customHeight="1" x14ac:dyDescent="0.3">
      <c r="A4" s="36" t="s">
        <v>45</v>
      </c>
      <c r="B4" s="39" t="s">
        <v>44</v>
      </c>
      <c r="C4" s="39" t="s">
        <v>43</v>
      </c>
      <c r="D4" s="39" t="s">
        <v>42</v>
      </c>
      <c r="E4" s="39" t="s">
        <v>41</v>
      </c>
      <c r="F4" s="38" t="s">
        <v>40</v>
      </c>
      <c r="G4" s="38" t="s">
        <v>39</v>
      </c>
      <c r="H4" s="37" t="s">
        <v>38</v>
      </c>
      <c r="I4" s="36"/>
    </row>
    <row r="5" spans="1:9" ht="18.600000000000001" customHeight="1" x14ac:dyDescent="0.25">
      <c r="A5" s="67" t="str">
        <f>DAILY!A5</f>
        <v>527 1</v>
      </c>
      <c r="B5" s="68"/>
      <c r="C5" s="68"/>
      <c r="D5" s="68"/>
      <c r="E5" s="68"/>
      <c r="F5" s="68"/>
      <c r="G5" s="68"/>
      <c r="H5" s="68"/>
      <c r="I5" s="69">
        <f t="shared" ref="I5:I16" si="0">SUM(B5:H5)</f>
        <v>0</v>
      </c>
    </row>
    <row r="6" spans="1:9" ht="18.600000000000001" customHeight="1" x14ac:dyDescent="0.25">
      <c r="A6" s="67" t="str">
        <f>DAILY!A6</f>
        <v>527 2</v>
      </c>
      <c r="B6" s="68"/>
      <c r="C6" s="68"/>
      <c r="D6" s="68"/>
      <c r="E6" s="68"/>
      <c r="F6" s="68"/>
      <c r="G6" s="68"/>
      <c r="H6" s="68"/>
      <c r="I6" s="69">
        <f t="shared" si="0"/>
        <v>0</v>
      </c>
    </row>
    <row r="7" spans="1:9" ht="18.600000000000001" customHeight="1" x14ac:dyDescent="0.25">
      <c r="A7" s="67" t="str">
        <f>DAILY!A7</f>
        <v>527 3</v>
      </c>
      <c r="B7" s="68"/>
      <c r="C7" s="68"/>
      <c r="D7" s="68"/>
      <c r="E7" s="68"/>
      <c r="F7" s="68"/>
      <c r="G7" s="68"/>
      <c r="H7" s="68"/>
      <c r="I7" s="69">
        <f t="shared" si="0"/>
        <v>0</v>
      </c>
    </row>
    <row r="8" spans="1:9" ht="18.600000000000001" customHeight="1" x14ac:dyDescent="0.25">
      <c r="A8" s="67" t="str">
        <f>DAILY!A8</f>
        <v>527 4</v>
      </c>
      <c r="B8" s="68"/>
      <c r="C8" s="68"/>
      <c r="D8" s="68"/>
      <c r="E8" s="68"/>
      <c r="F8" s="68">
        <v>206500</v>
      </c>
      <c r="G8" s="68">
        <v>215000</v>
      </c>
      <c r="H8" s="68">
        <v>154800</v>
      </c>
      <c r="I8" s="69">
        <f t="shared" si="0"/>
        <v>576300</v>
      </c>
    </row>
    <row r="9" spans="1:9" ht="18.600000000000001" customHeight="1" x14ac:dyDescent="0.25">
      <c r="A9" s="67" t="str">
        <f>DAILY!A9</f>
        <v>527 5</v>
      </c>
      <c r="B9" s="68">
        <v>282000</v>
      </c>
      <c r="C9" s="68"/>
      <c r="D9" s="68">
        <v>358000</v>
      </c>
      <c r="E9" s="68"/>
      <c r="F9" s="68"/>
      <c r="G9" s="68"/>
      <c r="H9" s="68"/>
      <c r="I9" s="69">
        <f t="shared" si="0"/>
        <v>640000</v>
      </c>
    </row>
    <row r="10" spans="1:9" ht="18.600000000000001" customHeight="1" x14ac:dyDescent="0.25">
      <c r="A10" s="67" t="str">
        <f>DAILY!A10</f>
        <v>527 6</v>
      </c>
      <c r="B10" s="68">
        <v>361100</v>
      </c>
      <c r="C10" s="68"/>
      <c r="D10" s="68">
        <v>142600</v>
      </c>
      <c r="E10" s="68"/>
      <c r="F10" s="68"/>
      <c r="G10" s="68"/>
      <c r="H10" s="68"/>
      <c r="I10" s="69">
        <f t="shared" si="0"/>
        <v>503700</v>
      </c>
    </row>
    <row r="11" spans="1:9" ht="18.600000000000001" customHeight="1" x14ac:dyDescent="0.25">
      <c r="A11" s="67" t="str">
        <f>DAILY!A11</f>
        <v>527 7</v>
      </c>
      <c r="B11" s="68">
        <v>217500</v>
      </c>
      <c r="C11" s="68"/>
      <c r="D11" s="68">
        <v>236100</v>
      </c>
      <c r="E11" s="68"/>
      <c r="F11" s="68"/>
      <c r="G11" s="68"/>
      <c r="H11" s="68"/>
      <c r="I11" s="69">
        <f t="shared" si="0"/>
        <v>453600</v>
      </c>
    </row>
    <row r="12" spans="1:9" ht="18.600000000000001" customHeight="1" x14ac:dyDescent="0.25">
      <c r="A12" s="67" t="str">
        <f>DAILY!A12</f>
        <v>527 8</v>
      </c>
      <c r="B12" s="68"/>
      <c r="C12" s="68"/>
      <c r="D12" s="68"/>
      <c r="E12" s="68"/>
      <c r="F12" s="68">
        <v>226200</v>
      </c>
      <c r="G12" s="68">
        <v>215800</v>
      </c>
      <c r="H12" s="68">
        <v>200000</v>
      </c>
      <c r="I12" s="69">
        <f t="shared" si="0"/>
        <v>642000</v>
      </c>
    </row>
    <row r="13" spans="1:9" ht="18.600000000000001" customHeight="1" x14ac:dyDescent="0.25">
      <c r="A13" s="67" t="str">
        <f>DAILY!A13</f>
        <v>527 9</v>
      </c>
      <c r="B13" s="68"/>
      <c r="C13" s="68"/>
      <c r="D13" s="68"/>
      <c r="E13" s="68"/>
      <c r="F13" s="68">
        <v>175500</v>
      </c>
      <c r="G13" s="68">
        <v>227700</v>
      </c>
      <c r="H13" s="68">
        <v>55000</v>
      </c>
      <c r="I13" s="69">
        <f t="shared" si="0"/>
        <v>458200</v>
      </c>
    </row>
    <row r="14" spans="1:9" ht="18.600000000000001" customHeight="1" x14ac:dyDescent="0.25">
      <c r="A14" s="67" t="str">
        <f>DAILY!A14</f>
        <v>527 10</v>
      </c>
      <c r="B14" s="68"/>
      <c r="C14" s="68"/>
      <c r="D14" s="68"/>
      <c r="E14" s="68"/>
      <c r="F14" s="68"/>
      <c r="G14" s="68"/>
      <c r="H14" s="68"/>
      <c r="I14" s="69">
        <f t="shared" si="0"/>
        <v>0</v>
      </c>
    </row>
    <row r="15" spans="1:9" ht="18.600000000000001" customHeight="1" x14ac:dyDescent="0.25">
      <c r="A15" s="67" t="str">
        <f>DAILY!A15</f>
        <v>Cheetah</v>
      </c>
      <c r="B15" s="68"/>
      <c r="C15" s="68"/>
      <c r="D15" s="68"/>
      <c r="E15" s="68"/>
      <c r="F15" s="68"/>
      <c r="G15" s="68"/>
      <c r="H15" s="68"/>
      <c r="I15" s="69">
        <f t="shared" si="0"/>
        <v>0</v>
      </c>
    </row>
    <row r="16" spans="1:9" ht="18.600000000000001" customHeight="1" x14ac:dyDescent="0.25">
      <c r="A16" s="67" t="str">
        <f>DAILY!A16</f>
        <v>527 12</v>
      </c>
      <c r="B16" s="68"/>
      <c r="C16" s="68"/>
      <c r="D16" s="68"/>
      <c r="E16" s="68"/>
      <c r="F16" s="68"/>
      <c r="G16" s="68"/>
      <c r="H16" s="68"/>
      <c r="I16" s="69">
        <f t="shared" si="0"/>
        <v>0</v>
      </c>
    </row>
    <row r="17" spans="1:9" ht="18.600000000000001" customHeight="1" x14ac:dyDescent="0.3">
      <c r="A17" s="70" t="s">
        <v>37</v>
      </c>
      <c r="B17" s="71">
        <f t="shared" ref="B17:H17" si="1">SUM(B5:B16)</f>
        <v>860600</v>
      </c>
      <c r="C17" s="71">
        <f t="shared" si="1"/>
        <v>0</v>
      </c>
      <c r="D17" s="71">
        <f t="shared" si="1"/>
        <v>736700</v>
      </c>
      <c r="E17" s="71">
        <f t="shared" si="1"/>
        <v>0</v>
      </c>
      <c r="F17" s="71">
        <f t="shared" si="1"/>
        <v>608200</v>
      </c>
      <c r="G17" s="71">
        <f t="shared" si="1"/>
        <v>658500</v>
      </c>
      <c r="H17" s="71">
        <f t="shared" si="1"/>
        <v>409800</v>
      </c>
      <c r="I17" s="72">
        <f>SUM(B17:H17)</f>
        <v>3273800</v>
      </c>
    </row>
    <row r="18" spans="1:9" ht="4.95" customHeight="1" x14ac:dyDescent="0.3">
      <c r="I18" s="47"/>
    </row>
    <row r="19" spans="1:9" ht="18.600000000000001" customHeight="1" x14ac:dyDescent="0.3">
      <c r="A19" s="67" t="str">
        <f>DAILY!A21</f>
        <v>R-14</v>
      </c>
      <c r="B19" s="73"/>
      <c r="C19" s="73"/>
      <c r="D19" s="73"/>
      <c r="E19" s="73"/>
      <c r="F19" s="73"/>
      <c r="G19" s="73"/>
      <c r="H19" s="73"/>
      <c r="I19" s="72">
        <f>SUM(B19:H19)</f>
        <v>0</v>
      </c>
    </row>
    <row r="20" spans="1:9" ht="6" customHeight="1" x14ac:dyDescent="0.3">
      <c r="I20" s="47"/>
    </row>
    <row r="21" spans="1:9" ht="18.600000000000001" customHeight="1" x14ac:dyDescent="0.25">
      <c r="A21" s="67" t="str">
        <f>DAILY!A25</f>
        <v>102 1</v>
      </c>
      <c r="B21" s="68"/>
      <c r="C21" s="68"/>
      <c r="D21" s="68"/>
      <c r="E21" s="68"/>
      <c r="F21" s="68">
        <v>254000</v>
      </c>
      <c r="G21" s="68">
        <v>0</v>
      </c>
      <c r="H21" s="68">
        <v>246400</v>
      </c>
      <c r="I21" s="69">
        <f t="shared" ref="I21:I26" si="2">SUM(B21:H21)</f>
        <v>500400</v>
      </c>
    </row>
    <row r="22" spans="1:9" ht="18.600000000000001" customHeight="1" x14ac:dyDescent="0.25">
      <c r="A22" s="67" t="str">
        <f>DAILY!A26</f>
        <v>102 2</v>
      </c>
      <c r="B22" s="68">
        <v>502500</v>
      </c>
      <c r="C22" s="68"/>
      <c r="D22" s="68">
        <v>467500</v>
      </c>
      <c r="E22" s="68"/>
      <c r="F22" s="68"/>
      <c r="G22" s="68"/>
      <c r="H22" s="68"/>
      <c r="I22" s="69">
        <f t="shared" si="2"/>
        <v>970000</v>
      </c>
    </row>
    <row r="23" spans="1:9" ht="18.600000000000001" customHeight="1" x14ac:dyDescent="0.25">
      <c r="A23" s="67" t="str">
        <f>DAILY!A27</f>
        <v>102 3</v>
      </c>
      <c r="B23" s="68"/>
      <c r="C23" s="68"/>
      <c r="D23" s="68"/>
      <c r="E23" s="68"/>
      <c r="F23" s="68"/>
      <c r="G23" s="68"/>
      <c r="H23" s="68"/>
      <c r="I23" s="69">
        <f t="shared" si="2"/>
        <v>0</v>
      </c>
    </row>
    <row r="24" spans="1:9" ht="18.600000000000001" customHeight="1" x14ac:dyDescent="0.25">
      <c r="A24" s="67" t="str">
        <f>DAILY!A28</f>
        <v>102 4</v>
      </c>
      <c r="B24" s="68"/>
      <c r="C24" s="68"/>
      <c r="D24" s="68"/>
      <c r="E24" s="68"/>
      <c r="F24" s="68"/>
      <c r="G24" s="68"/>
      <c r="H24" s="68"/>
      <c r="I24" s="69">
        <f t="shared" si="2"/>
        <v>0</v>
      </c>
    </row>
    <row r="25" spans="1:9" ht="18.600000000000001" customHeight="1" x14ac:dyDescent="0.25">
      <c r="A25" s="67" t="str">
        <f>DAILY!A29</f>
        <v>102 5</v>
      </c>
      <c r="B25" s="68"/>
      <c r="C25" s="68"/>
      <c r="D25" s="68"/>
      <c r="E25" s="68"/>
      <c r="F25" s="68"/>
      <c r="G25" s="68"/>
      <c r="H25" s="68"/>
      <c r="I25" s="69">
        <f t="shared" si="2"/>
        <v>0</v>
      </c>
    </row>
    <row r="26" spans="1:9" ht="18.600000000000001" customHeight="1" x14ac:dyDescent="0.3">
      <c r="A26" s="70" t="s">
        <v>36</v>
      </c>
      <c r="B26" s="74">
        <f t="shared" ref="B26:H26" si="3">SUM(B21:B25)</f>
        <v>502500</v>
      </c>
      <c r="C26" s="74">
        <f t="shared" si="3"/>
        <v>0</v>
      </c>
      <c r="D26" s="74">
        <f t="shared" si="3"/>
        <v>467500</v>
      </c>
      <c r="E26" s="74">
        <f t="shared" si="3"/>
        <v>0</v>
      </c>
      <c r="F26" s="74">
        <f t="shared" si="3"/>
        <v>254000</v>
      </c>
      <c r="G26" s="74">
        <f t="shared" si="3"/>
        <v>0</v>
      </c>
      <c r="H26" s="74">
        <f t="shared" si="3"/>
        <v>246400</v>
      </c>
      <c r="I26" s="72">
        <f t="shared" si="2"/>
        <v>1470400</v>
      </c>
    </row>
    <row r="27" spans="1:9" ht="4.95" customHeight="1" x14ac:dyDescent="0.3">
      <c r="I27" s="47"/>
    </row>
    <row r="28" spans="1:9" ht="18.600000000000001" customHeight="1" x14ac:dyDescent="0.25">
      <c r="A28" s="67" t="s">
        <v>82</v>
      </c>
      <c r="B28" s="75">
        <v>571200</v>
      </c>
      <c r="C28" s="75"/>
      <c r="D28" s="75">
        <v>494400</v>
      </c>
      <c r="E28" s="75"/>
      <c r="F28" s="75"/>
      <c r="G28" s="75"/>
      <c r="H28" s="75"/>
      <c r="I28" s="69">
        <f>SUM(B28:H28)</f>
        <v>1065600</v>
      </c>
    </row>
    <row r="29" spans="1:9" ht="18.600000000000001" customHeight="1" x14ac:dyDescent="0.25">
      <c r="A29" s="67" t="s">
        <v>83</v>
      </c>
      <c r="B29" s="75">
        <v>434400</v>
      </c>
      <c r="C29" s="75"/>
      <c r="D29" s="75">
        <v>489600</v>
      </c>
      <c r="E29" s="75"/>
      <c r="F29" s="75"/>
      <c r="G29" s="75"/>
      <c r="H29" s="75"/>
      <c r="I29" s="69">
        <f>SUM(B29:H29)</f>
        <v>924000</v>
      </c>
    </row>
    <row r="30" spans="1:9" ht="18.600000000000001" customHeight="1" x14ac:dyDescent="0.25">
      <c r="A30" s="67" t="s">
        <v>84</v>
      </c>
      <c r="B30" s="75"/>
      <c r="C30" s="75"/>
      <c r="D30" s="75"/>
      <c r="E30" s="75"/>
      <c r="F30" s="75"/>
      <c r="G30" s="75"/>
      <c r="H30" s="75"/>
      <c r="I30" s="69">
        <f>SUM(B30:H30)</f>
        <v>0</v>
      </c>
    </row>
    <row r="31" spans="1:9" ht="18.600000000000001" customHeight="1" x14ac:dyDescent="0.25">
      <c r="A31" s="67" t="s">
        <v>85</v>
      </c>
      <c r="B31" s="75"/>
      <c r="C31" s="75"/>
      <c r="D31" s="75"/>
      <c r="E31" s="75"/>
      <c r="F31" s="75"/>
      <c r="G31" s="75"/>
      <c r="H31" s="75"/>
      <c r="I31" s="69">
        <f>SUM(B31:H31)</f>
        <v>0</v>
      </c>
    </row>
    <row r="32" spans="1:9" ht="18.600000000000001" customHeight="1" x14ac:dyDescent="0.25">
      <c r="A32" s="67" t="s">
        <v>86</v>
      </c>
      <c r="B32" s="68"/>
      <c r="C32" s="68"/>
      <c r="D32" s="68"/>
      <c r="E32" s="68"/>
      <c r="F32" s="68"/>
      <c r="G32" s="68"/>
      <c r="H32" s="68"/>
      <c r="I32" s="69">
        <f>SUM(B32:H32)</f>
        <v>0</v>
      </c>
    </row>
    <row r="33" spans="1:9" ht="18.600000000000001" customHeight="1" x14ac:dyDescent="0.3">
      <c r="A33" s="70" t="s">
        <v>35</v>
      </c>
      <c r="B33" s="74">
        <f t="shared" ref="B33:I33" si="4">SUM(B28:B32)</f>
        <v>1005600</v>
      </c>
      <c r="C33" s="74">
        <f t="shared" si="4"/>
        <v>0</v>
      </c>
      <c r="D33" s="74">
        <f t="shared" si="4"/>
        <v>984000</v>
      </c>
      <c r="E33" s="74">
        <f t="shared" si="4"/>
        <v>0</v>
      </c>
      <c r="F33" s="74">
        <f t="shared" si="4"/>
        <v>0</v>
      </c>
      <c r="G33" s="74">
        <f t="shared" si="4"/>
        <v>0</v>
      </c>
      <c r="H33" s="74">
        <f t="shared" si="4"/>
        <v>0</v>
      </c>
      <c r="I33" s="76">
        <f t="shared" si="4"/>
        <v>1989600</v>
      </c>
    </row>
    <row r="34" spans="1:9" ht="4.95" customHeight="1" x14ac:dyDescent="0.3">
      <c r="A34" s="40"/>
      <c r="B34" s="46"/>
      <c r="C34" s="46"/>
      <c r="D34" s="46"/>
      <c r="E34" s="46"/>
      <c r="F34" s="46"/>
      <c r="G34" s="46"/>
      <c r="H34" s="46"/>
      <c r="I34" s="47"/>
    </row>
    <row r="35" spans="1:9" ht="18.600000000000001" customHeight="1" x14ac:dyDescent="0.3">
      <c r="A35" s="77" t="s">
        <v>34</v>
      </c>
      <c r="B35" s="78">
        <f t="shared" ref="B35:I35" si="5">B17+B19+B26+B33</f>
        <v>2368700</v>
      </c>
      <c r="C35" s="78">
        <f t="shared" si="5"/>
        <v>0</v>
      </c>
      <c r="D35" s="78">
        <f t="shared" si="5"/>
        <v>2188200</v>
      </c>
      <c r="E35" s="78">
        <f t="shared" si="5"/>
        <v>0</v>
      </c>
      <c r="F35" s="78">
        <f t="shared" si="5"/>
        <v>862200</v>
      </c>
      <c r="G35" s="78">
        <f t="shared" si="5"/>
        <v>658500</v>
      </c>
      <c r="H35" s="78">
        <f t="shared" si="5"/>
        <v>656200</v>
      </c>
      <c r="I35" s="78">
        <f t="shared" si="5"/>
        <v>6733800</v>
      </c>
    </row>
    <row r="36" spans="1:9" ht="13.2" customHeight="1" x14ac:dyDescent="0.25">
      <c r="A36" s="177">
        <f>SUM(B35:H35)</f>
        <v>6733800</v>
      </c>
      <c r="B36" s="177"/>
      <c r="C36" s="177"/>
      <c r="D36" s="177"/>
      <c r="E36" s="177"/>
      <c r="F36" s="177"/>
      <c r="G36" s="177"/>
      <c r="H36" s="177"/>
      <c r="I36" s="177"/>
    </row>
    <row r="37" spans="1:9" ht="13.2" customHeight="1" x14ac:dyDescent="0.25">
      <c r="A37" s="177"/>
      <c r="B37" s="177"/>
      <c r="C37" s="177"/>
      <c r="D37" s="177"/>
      <c r="E37" s="177"/>
      <c r="F37" s="177"/>
      <c r="G37" s="177"/>
      <c r="H37" s="177"/>
      <c r="I37" s="177"/>
    </row>
    <row r="38" spans="1:9" ht="13.2" customHeight="1" x14ac:dyDescent="0.25">
      <c r="A38" s="177"/>
      <c r="B38" s="177"/>
      <c r="C38" s="177"/>
      <c r="D38" s="177"/>
      <c r="E38" s="177"/>
      <c r="F38" s="177"/>
      <c r="G38" s="177"/>
      <c r="H38" s="177"/>
      <c r="I38" s="177"/>
    </row>
    <row r="39" spans="1:9" ht="13.2" customHeight="1" x14ac:dyDescent="0.25">
      <c r="A39" s="177"/>
      <c r="B39" s="177"/>
      <c r="C39" s="177"/>
      <c r="D39" s="177"/>
      <c r="E39" s="177"/>
      <c r="F39" s="177"/>
      <c r="G39" s="177"/>
      <c r="H39" s="177"/>
      <c r="I39" s="177"/>
    </row>
  </sheetData>
  <sheetProtection sheet="1" selectLockedCells="1"/>
  <mergeCells count="4">
    <mergeCell ref="A1:G1"/>
    <mergeCell ref="A2:I2"/>
    <mergeCell ref="A3:I3"/>
    <mergeCell ref="A36:I39"/>
  </mergeCells>
  <pageMargins left="0.7" right="0.7" top="0.75" bottom="0.75" header="0.3" footer="0.3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0DFD-6B69-4527-992D-1A6C787022BD}">
  <sheetPr codeName="Sheet2"/>
  <dimension ref="A2:M45"/>
  <sheetViews>
    <sheetView workbookViewId="0">
      <selection activeCell="A13" sqref="A13"/>
    </sheetView>
  </sheetViews>
  <sheetFormatPr defaultRowHeight="14.4" x14ac:dyDescent="0.3"/>
  <cols>
    <col min="1" max="1" width="29.6640625" customWidth="1"/>
    <col min="2" max="2" width="55.109375" customWidth="1"/>
    <col min="3" max="3" width="2.21875" customWidth="1"/>
    <col min="4" max="4" width="91.6640625" customWidth="1"/>
    <col min="5" max="5" width="2.21875" customWidth="1"/>
    <col min="6" max="6" width="17.6640625" customWidth="1"/>
    <col min="7" max="7" width="2.21875" customWidth="1"/>
    <col min="8" max="8" width="34.33203125" hidden="1" customWidth="1"/>
    <col min="9" max="9" width="17.88671875" hidden="1" customWidth="1"/>
    <col min="10" max="10" width="2.21875" customWidth="1"/>
    <col min="11" max="11" width="14.21875" customWidth="1"/>
    <col min="13" max="13" width="16" customWidth="1"/>
  </cols>
  <sheetData>
    <row r="2" spans="1:13" ht="15" thickBot="1" x14ac:dyDescent="0.35"/>
    <row r="3" spans="1:13" ht="46.8" x14ac:dyDescent="0.3">
      <c r="A3" s="185" t="s">
        <v>17</v>
      </c>
      <c r="B3" s="186"/>
      <c r="D3" s="11" t="s">
        <v>19</v>
      </c>
      <c r="F3" s="109" t="s">
        <v>65</v>
      </c>
      <c r="H3" s="189" t="s">
        <v>98</v>
      </c>
      <c r="I3" s="190"/>
      <c r="K3" s="11" t="s">
        <v>102</v>
      </c>
      <c r="M3" s="11" t="s">
        <v>115</v>
      </c>
    </row>
    <row r="4" spans="1:13" ht="15" customHeight="1" thickBot="1" x14ac:dyDescent="0.35">
      <c r="A4" s="107" t="s">
        <v>20</v>
      </c>
      <c r="B4" s="108" t="s">
        <v>21</v>
      </c>
      <c r="D4" s="157"/>
      <c r="F4" s="158" t="s">
        <v>1</v>
      </c>
      <c r="H4" s="105" t="s">
        <v>99</v>
      </c>
      <c r="I4" s="106" t="s">
        <v>100</v>
      </c>
      <c r="K4" s="158">
        <f>365 - COUNTIF(I5:I45, "&gt;0")</f>
        <v>365</v>
      </c>
      <c r="M4" s="158" t="b">
        <v>1</v>
      </c>
    </row>
    <row r="5" spans="1:13" ht="15" thickBot="1" x14ac:dyDescent="0.35">
      <c r="A5" s="152" t="s">
        <v>18</v>
      </c>
      <c r="B5" s="153" t="s">
        <v>22</v>
      </c>
      <c r="D5" s="187" t="s">
        <v>87</v>
      </c>
      <c r="H5" s="152"/>
      <c r="I5" s="159"/>
    </row>
    <row r="6" spans="1:13" ht="15.6" x14ac:dyDescent="0.3">
      <c r="A6" s="152"/>
      <c r="B6" s="153"/>
      <c r="D6" s="188"/>
      <c r="F6" s="109" t="s">
        <v>103</v>
      </c>
      <c r="H6" s="152"/>
      <c r="I6" s="159"/>
    </row>
    <row r="7" spans="1:13" ht="15" thickBot="1" x14ac:dyDescent="0.35">
      <c r="A7" s="152"/>
      <c r="B7" s="153"/>
      <c r="F7" s="158">
        <v>24000000</v>
      </c>
      <c r="H7" s="152"/>
      <c r="I7" s="159"/>
    </row>
    <row r="8" spans="1:13" x14ac:dyDescent="0.3">
      <c r="A8" s="152"/>
      <c r="B8" s="154"/>
      <c r="H8" s="152"/>
      <c r="I8" s="159"/>
    </row>
    <row r="9" spans="1:13" x14ac:dyDescent="0.3">
      <c r="A9" s="152"/>
      <c r="B9" s="154"/>
      <c r="H9" s="152"/>
      <c r="I9" s="159"/>
    </row>
    <row r="10" spans="1:13" x14ac:dyDescent="0.3">
      <c r="A10" s="152"/>
      <c r="B10" s="154"/>
      <c r="H10" s="152"/>
      <c r="I10" s="159"/>
    </row>
    <row r="11" spans="1:13" x14ac:dyDescent="0.3">
      <c r="A11" s="152"/>
      <c r="B11" s="154"/>
      <c r="H11" s="152"/>
      <c r="I11" s="159"/>
    </row>
    <row r="12" spans="1:13" x14ac:dyDescent="0.3">
      <c r="A12" s="152"/>
      <c r="B12" s="154"/>
      <c r="H12" s="152"/>
      <c r="I12" s="159"/>
    </row>
    <row r="13" spans="1:13" x14ac:dyDescent="0.3">
      <c r="A13" s="152"/>
      <c r="B13" s="154"/>
      <c r="H13" s="152"/>
      <c r="I13" s="159"/>
    </row>
    <row r="14" spans="1:13" x14ac:dyDescent="0.3">
      <c r="A14" s="152"/>
      <c r="B14" s="154"/>
      <c r="H14" s="152"/>
      <c r="I14" s="159"/>
    </row>
    <row r="15" spans="1:13" x14ac:dyDescent="0.3">
      <c r="A15" s="152"/>
      <c r="B15" s="154"/>
      <c r="H15" s="152"/>
      <c r="I15" s="159"/>
    </row>
    <row r="16" spans="1:13" x14ac:dyDescent="0.3">
      <c r="A16" s="152"/>
      <c r="B16" s="154"/>
      <c r="H16" s="152"/>
      <c r="I16" s="159"/>
    </row>
    <row r="17" spans="1:9" x14ac:dyDescent="0.3">
      <c r="A17" s="152"/>
      <c r="B17" s="154"/>
      <c r="H17" s="152"/>
      <c r="I17" s="159"/>
    </row>
    <row r="18" spans="1:9" x14ac:dyDescent="0.3">
      <c r="A18" s="152"/>
      <c r="B18" s="154"/>
      <c r="H18" s="152"/>
      <c r="I18" s="159"/>
    </row>
    <row r="19" spans="1:9" x14ac:dyDescent="0.3">
      <c r="A19" s="152"/>
      <c r="B19" s="154"/>
      <c r="H19" s="152"/>
      <c r="I19" s="159"/>
    </row>
    <row r="20" spans="1:9" x14ac:dyDescent="0.3">
      <c r="A20" s="152"/>
      <c r="B20" s="154"/>
      <c r="H20" s="152"/>
      <c r="I20" s="159"/>
    </row>
    <row r="21" spans="1:9" x14ac:dyDescent="0.3">
      <c r="A21" s="152"/>
      <c r="B21" s="154"/>
      <c r="H21" s="152"/>
      <c r="I21" s="159"/>
    </row>
    <row r="22" spans="1:9" x14ac:dyDescent="0.3">
      <c r="A22" s="152"/>
      <c r="B22" s="154"/>
      <c r="H22" s="152"/>
      <c r="I22" s="159"/>
    </row>
    <row r="23" spans="1:9" x14ac:dyDescent="0.3">
      <c r="A23" s="152"/>
      <c r="B23" s="154"/>
      <c r="H23" s="152"/>
      <c r="I23" s="159"/>
    </row>
    <row r="24" spans="1:9" x14ac:dyDescent="0.3">
      <c r="A24" s="152"/>
      <c r="B24" s="154"/>
      <c r="H24" s="152"/>
      <c r="I24" s="159"/>
    </row>
    <row r="25" spans="1:9" x14ac:dyDescent="0.3">
      <c r="A25" s="152"/>
      <c r="B25" s="154"/>
      <c r="H25" s="152"/>
      <c r="I25" s="159"/>
    </row>
    <row r="26" spans="1:9" x14ac:dyDescent="0.3">
      <c r="A26" s="152"/>
      <c r="B26" s="154"/>
      <c r="H26" s="152"/>
      <c r="I26" s="159"/>
    </row>
    <row r="27" spans="1:9" x14ac:dyDescent="0.3">
      <c r="A27" s="152"/>
      <c r="B27" s="154"/>
      <c r="H27" s="152"/>
      <c r="I27" s="159"/>
    </row>
    <row r="28" spans="1:9" x14ac:dyDescent="0.3">
      <c r="A28" s="152"/>
      <c r="B28" s="154"/>
      <c r="H28" s="152"/>
      <c r="I28" s="159"/>
    </row>
    <row r="29" spans="1:9" x14ac:dyDescent="0.3">
      <c r="A29" s="152"/>
      <c r="B29" s="154"/>
      <c r="H29" s="152"/>
      <c r="I29" s="159"/>
    </row>
    <row r="30" spans="1:9" x14ac:dyDescent="0.3">
      <c r="A30" s="152"/>
      <c r="B30" s="154"/>
      <c r="H30" s="152"/>
      <c r="I30" s="159"/>
    </row>
    <row r="31" spans="1:9" x14ac:dyDescent="0.3">
      <c r="A31" s="152"/>
      <c r="B31" s="154"/>
      <c r="H31" s="152"/>
      <c r="I31" s="159"/>
    </row>
    <row r="32" spans="1:9" x14ac:dyDescent="0.3">
      <c r="A32" s="152"/>
      <c r="B32" s="154"/>
      <c r="H32" s="152"/>
      <c r="I32" s="159"/>
    </row>
    <row r="33" spans="1:9" x14ac:dyDescent="0.3">
      <c r="A33" s="152"/>
      <c r="B33" s="154"/>
      <c r="H33" s="152"/>
      <c r="I33" s="159"/>
    </row>
    <row r="34" spans="1:9" x14ac:dyDescent="0.3">
      <c r="A34" s="152"/>
      <c r="B34" s="154"/>
      <c r="H34" s="152"/>
      <c r="I34" s="159"/>
    </row>
    <row r="35" spans="1:9" x14ac:dyDescent="0.3">
      <c r="A35" s="152"/>
      <c r="B35" s="154"/>
      <c r="H35" s="152"/>
      <c r="I35" s="159"/>
    </row>
    <row r="36" spans="1:9" x14ac:dyDescent="0.3">
      <c r="A36" s="152"/>
      <c r="B36" s="154"/>
      <c r="H36" s="152"/>
      <c r="I36" s="159"/>
    </row>
    <row r="37" spans="1:9" x14ac:dyDescent="0.3">
      <c r="A37" s="152"/>
      <c r="B37" s="154"/>
      <c r="H37" s="152"/>
      <c r="I37" s="159"/>
    </row>
    <row r="38" spans="1:9" x14ac:dyDescent="0.3">
      <c r="A38" s="152"/>
      <c r="B38" s="154"/>
      <c r="H38" s="152"/>
      <c r="I38" s="159"/>
    </row>
    <row r="39" spans="1:9" x14ac:dyDescent="0.3">
      <c r="A39" s="152"/>
      <c r="B39" s="154"/>
      <c r="H39" s="152"/>
      <c r="I39" s="159"/>
    </row>
    <row r="40" spans="1:9" x14ac:dyDescent="0.3">
      <c r="A40" s="152"/>
      <c r="B40" s="154"/>
      <c r="H40" s="152"/>
      <c r="I40" s="159"/>
    </row>
    <row r="41" spans="1:9" x14ac:dyDescent="0.3">
      <c r="A41" s="152"/>
      <c r="B41" s="154"/>
      <c r="H41" s="152"/>
      <c r="I41" s="159"/>
    </row>
    <row r="42" spans="1:9" x14ac:dyDescent="0.3">
      <c r="A42" s="152"/>
      <c r="B42" s="154"/>
      <c r="H42" s="152"/>
      <c r="I42" s="159"/>
    </row>
    <row r="43" spans="1:9" x14ac:dyDescent="0.3">
      <c r="A43" s="152"/>
      <c r="B43" s="154"/>
      <c r="H43" s="152"/>
      <c r="I43" s="159"/>
    </row>
    <row r="44" spans="1:9" x14ac:dyDescent="0.3">
      <c r="A44" s="152"/>
      <c r="B44" s="154"/>
      <c r="H44" s="152"/>
      <c r="I44" s="159"/>
    </row>
    <row r="45" spans="1:9" ht="15" thickBot="1" x14ac:dyDescent="0.35">
      <c r="A45" s="155"/>
      <c r="B45" s="156"/>
      <c r="H45" s="155"/>
      <c r="I45" s="160"/>
    </row>
  </sheetData>
  <sheetProtection sheet="1" objects="1" scenarios="1" selectLockedCells="1"/>
  <mergeCells count="3">
    <mergeCell ref="A3:B3"/>
    <mergeCell ref="D5:D6"/>
    <mergeCell ref="H3:I3"/>
  </mergeCells>
  <hyperlinks>
    <hyperlink ref="B5" r:id="rId1" xr:uid="{1A7D861D-30F9-4CD6-A9DD-64A3D7CBBFE2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70C52-7B86-4CBE-B659-C3BAC019BD48}">
  <sheetPr codeName="Sheet3"/>
  <dimension ref="A1:B12"/>
  <sheetViews>
    <sheetView workbookViewId="0">
      <selection activeCell="D10" sqref="D10"/>
    </sheetView>
  </sheetViews>
  <sheetFormatPr defaultRowHeight="14.4" x14ac:dyDescent="0.3"/>
  <cols>
    <col min="1" max="1" width="13.44140625" bestFit="1" customWidth="1"/>
    <col min="2" max="2" width="10.6640625" bestFit="1" customWidth="1"/>
  </cols>
  <sheetData>
    <row r="1" spans="1:2" x14ac:dyDescent="0.3">
      <c r="A1" t="s">
        <v>26</v>
      </c>
      <c r="B1" t="s">
        <v>27</v>
      </c>
    </row>
    <row r="2" spans="1:2" x14ac:dyDescent="0.3">
      <c r="A2">
        <v>1</v>
      </c>
      <c r="B2">
        <v>26000000</v>
      </c>
    </row>
    <row r="3" spans="1:2" x14ac:dyDescent="0.3">
      <c r="A3">
        <v>2</v>
      </c>
      <c r="B3">
        <v>26000000</v>
      </c>
    </row>
    <row r="4" spans="1:2" x14ac:dyDescent="0.3">
      <c r="A4">
        <v>3</v>
      </c>
      <c r="B4">
        <v>26000000</v>
      </c>
    </row>
    <row r="5" spans="1:2" x14ac:dyDescent="0.3">
      <c r="A5">
        <v>4</v>
      </c>
      <c r="B5">
        <v>29200000</v>
      </c>
    </row>
    <row r="6" spans="1:2" x14ac:dyDescent="0.3">
      <c r="A6">
        <v>5</v>
      </c>
      <c r="B6">
        <v>26000000</v>
      </c>
    </row>
    <row r="7" spans="1:2" x14ac:dyDescent="0.3">
      <c r="A7">
        <v>6</v>
      </c>
      <c r="B7">
        <v>26000000</v>
      </c>
    </row>
    <row r="8" spans="1:2" x14ac:dyDescent="0.3">
      <c r="A8">
        <v>7</v>
      </c>
      <c r="B8">
        <v>26000000</v>
      </c>
    </row>
    <row r="9" spans="1:2" x14ac:dyDescent="0.3">
      <c r="A9">
        <v>8</v>
      </c>
      <c r="B9">
        <v>26000000</v>
      </c>
    </row>
    <row r="10" spans="1:2" x14ac:dyDescent="0.3">
      <c r="A10">
        <v>9</v>
      </c>
      <c r="B10">
        <v>21800000</v>
      </c>
    </row>
    <row r="11" spans="1:2" x14ac:dyDescent="0.3">
      <c r="A11">
        <v>10</v>
      </c>
      <c r="B11">
        <v>26000000</v>
      </c>
    </row>
    <row r="12" spans="1:2" x14ac:dyDescent="0.3">
      <c r="A12">
        <v>11</v>
      </c>
      <c r="B12">
        <v>26000000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CBF9CBB806C488DE7D172FFF2C4D7" ma:contentTypeVersion="18" ma:contentTypeDescription="Create a new document." ma:contentTypeScope="" ma:versionID="5fbfdd7d867c6bdb9683f82a1608f010">
  <xsd:schema xmlns:xsd="http://www.w3.org/2001/XMLSchema" xmlns:xs="http://www.w3.org/2001/XMLSchema" xmlns:p="http://schemas.microsoft.com/office/2006/metadata/properties" xmlns:ns3="11ab4588-4286-464b-a54e-72daafbc5e1a" xmlns:ns4="580e8fa6-041b-46e3-a4ab-91d2bd732246" targetNamespace="http://schemas.microsoft.com/office/2006/metadata/properties" ma:root="true" ma:fieldsID="48dff920acd0d13fc6300231b9421c21" ns3:_="" ns4:_="">
    <xsd:import namespace="11ab4588-4286-464b-a54e-72daafbc5e1a"/>
    <xsd:import namespace="580e8fa6-041b-46e3-a4ab-91d2bd73224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ab4588-4286-464b-a54e-72daafbc5e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0e8fa6-041b-46e3-a4ab-91d2bd73224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1ab4588-4286-464b-a54e-72daafbc5e1a" xsi:nil="true"/>
  </documentManagement>
</p:properties>
</file>

<file path=customXml/itemProps1.xml><?xml version="1.0" encoding="utf-8"?>
<ds:datastoreItem xmlns:ds="http://schemas.openxmlformats.org/officeDocument/2006/customXml" ds:itemID="{931AB8C6-4AA0-4886-935C-7BE3F3C365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B33E1C-BDE5-4472-9CA9-AA7E720DD8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ab4588-4286-464b-a54e-72daafbc5e1a"/>
    <ds:schemaRef ds:uri="580e8fa6-041b-46e3-a4ab-91d2bd7322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2713C4A-5D66-44B2-89AD-CA9FB0BE7A0F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  <ds:schemaRef ds:uri="580e8fa6-041b-46e3-a4ab-91d2bd732246"/>
    <ds:schemaRef ds:uri="http://purl.org/dc/dcmitype/"/>
    <ds:schemaRef ds:uri="11ab4588-4286-464b-a54e-72daafbc5e1a"/>
    <ds:schemaRef ds:uri="http://schemas.microsoft.com/office/2006/documentManagement/type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Summary</vt:lpstr>
      <vt:lpstr>DAILY</vt:lpstr>
      <vt:lpstr>SUN</vt:lpstr>
      <vt:lpstr>MON</vt:lpstr>
      <vt:lpstr>TUE</vt:lpstr>
      <vt:lpstr>WED</vt:lpstr>
      <vt:lpstr>THUR</vt:lpstr>
      <vt:lpstr>FRI</vt:lpstr>
      <vt:lpstr>SAT</vt:lpstr>
      <vt:lpstr>Settings</vt:lpstr>
      <vt:lpstr>Analyze ProdData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Fisher</dc:creator>
  <cp:lastModifiedBy>Mike Fisher</cp:lastModifiedBy>
  <cp:lastPrinted>2025-07-16T12:07:19Z</cp:lastPrinted>
  <dcterms:created xsi:type="dcterms:W3CDTF">2025-06-27T19:19:05Z</dcterms:created>
  <dcterms:modified xsi:type="dcterms:W3CDTF">2025-07-16T13:10:37Z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0x0101005A1CBF9CBB806C488DE7D172FFF2C4D7</vt:lpwstr>
  </property>
</Properties>
</file>